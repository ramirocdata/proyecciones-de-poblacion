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upuestos" sheetId="2" state="visible" r:id="rId4"/>
    <sheet name="Proyeccion" sheetId="3" state="visible" r:id="rId5"/>
    <sheet name="Resulta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Sx: proporción del grupo x que sobrevive 5 años y pasa al grupo x+5. En la fila 80-84 está la relación del grupo abierto: L85+ / (L80-84 + L85+).</t>
        </r>
      </text>
    </comment>
  </commentList>
</comments>
</file>

<file path=xl/sharedStrings.xml><?xml version="1.0" encoding="utf-8"?>
<sst xmlns="http://schemas.openxmlformats.org/spreadsheetml/2006/main" count="162" uniqueCount="87">
  <si>
    <t xml:space="preserve">Sesión 11 · Método de componentes por cohortes (población cerrada)</t>
  </si>
  <si>
    <t xml:space="preserve">Convención de colores</t>
  </si>
  <si>
    <t xml:space="preserve">Entrada</t>
  </si>
  <si>
    <t xml:space="preserve">Dato o supuesto: puede modificarse.</t>
  </si>
  <si>
    <t xml:space="preserve">Fórmula</t>
  </si>
  <si>
    <t xml:space="preserve">Cálculo: no sobrescribir con valores.</t>
  </si>
  <si>
    <t xml:space="preserve">Resultado</t>
  </si>
  <si>
    <t xml:space="preserve">Resultado clave del ejercicio.</t>
  </si>
  <si>
    <t xml:space="preserve">Pasos</t>
  </si>
  <si>
    <t xml:space="preserve">1.</t>
  </si>
  <si>
    <t xml:space="preserve">En 'Supuestos' están la población base 2020 por sexo y edad, los 5Lx de mujeres y hombres, las tasas de fecundidad y el índice de masculinidad al nacer.</t>
  </si>
  <si>
    <t xml:space="preserve">2.</t>
  </si>
  <si>
    <t xml:space="preserve">Los 5Lx de mujeres provienen de la hoja 'Supervivencia' de 06_tabla_de_vida.xlsx; los de hombres, de una tabla análoga.</t>
  </si>
  <si>
    <t xml:space="preserve">3.</t>
  </si>
  <si>
    <t xml:space="preserve">En 'Proyeccion', cada columna es un quinquenio. Siga el orden: (1) sobrevivir cohortes 5-9 a 80-84, (2) grupo abierto 85+, (3) nacimientos, (4) grupo 0-4.</t>
  </si>
  <si>
    <t xml:space="preserve">4.</t>
  </si>
  <si>
    <t xml:space="preserve">El bloque 'Nacimientos' usa el promedio de mujeres en edad fértil al inicio y al final del periodo.</t>
  </si>
  <si>
    <t xml:space="preserve">5.</t>
  </si>
  <si>
    <t xml:space="preserve">En 'Resultados' compare totales, indicadores y la pirámide 2020 vs. 2040.</t>
  </si>
  <si>
    <t xml:space="preserve">6.</t>
  </si>
  <si>
    <t xml:space="preserve">Ejercicio: cambie la TGF bajando las tasas específicas y observe el efecto en 0-4 y en la razón de dependencia.</t>
  </si>
  <si>
    <t xml:space="preserve">7.</t>
  </si>
  <si>
    <t xml:space="preserve">La sesión 12 agrega migración y supuestos que cambian en el tiempo.</t>
  </si>
  <si>
    <t xml:space="preserve">Los datos de esta plantilla son FICTICIOS y tienen fines didácticos. Reemplácelos por datos oficiales (ver datos/README.md).</t>
  </si>
  <si>
    <t xml:space="preserve">Supuestos y datos de base (departamento ficticio)</t>
  </si>
  <si>
    <t xml:space="preserve">Año base:</t>
  </si>
  <si>
    <t xml:space="preserve">l0 de las tablas de vida:</t>
  </si>
  <si>
    <t xml:space="preserve">Grupo</t>
  </si>
  <si>
    <t xml:space="preserve">Mujeres base</t>
  </si>
  <si>
    <t xml:space="preserve">Hombres base</t>
  </si>
  <si>
    <t xml:space="preserve">5Lx mujeres</t>
  </si>
  <si>
    <t xml:space="preserve">5Lx hombres</t>
  </si>
  <si>
    <t xml:space="preserve">Sx mujeres</t>
  </si>
  <si>
    <t xml:space="preserve">Sx hombres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</si>
  <si>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</si>
  <si>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</si>
  <si>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</si>
  <si>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</si>
  <si>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</si>
  <si>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</si>
  <si>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</si>
  <si>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</si>
  <si>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</si>
  <si>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</si>
  <si>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</si>
  <si>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</si>
  <si>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</si>
  <si>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</si>
  <si>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</si>
  <si>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</si>
  <si>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</si>
  <si>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</si>
  <si>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Total</t>
  </si>
  <si>
    <t xml:space="preserve">Supervivencia nacimientos → 0-4</t>
  </si>
  <si>
    <t xml:space="preserve">Fecundidad</t>
  </si>
  <si>
    <t xml:space="preserve">Tasa específica (por mujer)</t>
  </si>
  <si>
    <t xml:space="preserve">TGF</t>
  </si>
  <si>
    <t xml:space="preserve">Índice de masculinidad al nacer</t>
  </si>
  <si>
    <t xml:space="preserve">Proporción de nacimientos femeninos</t>
  </si>
  <si>
    <t xml:space="preserve">Fuente: datos ficticios. Supuestos constantes en todo el horizonte (simplificación de la sesión 11).</t>
  </si>
  <si>
    <t xml:space="preserve">Proyección por componentes · población cerrada</t>
  </si>
  <si>
    <t xml:space="preserve">MUJERES</t>
  </si>
  <si>
    <t xml:space="preserve">HOMBRES</t>
  </si>
  <si>
    <t xml:space="preserve">NACIMIENTOS DEL PERIODO</t>
  </si>
  <si>
    <t xml:space="preserve">Total nacimientos</t>
  </si>
  <si>
    <t xml:space="preserve">Nacimientos femeninos</t>
  </si>
  <si>
    <t xml:space="preserve">Nacimientos masculinos</t>
  </si>
  <si>
    <t xml:space="preserve">Columna 2025 = nacimientos 2020-2025, etc. Mujeres fértiles: promedio entre inicio y fin del periodo.</t>
  </si>
  <si>
    <t xml:space="preserve">Resultados e indicadores</t>
  </si>
  <si>
    <t xml:space="preserve">Indicador</t>
  </si>
  <si>
    <t xml:space="preserve">Población total</t>
  </si>
  <si>
    <t xml:space="preserve">Mujeres</t>
  </si>
  <si>
    <t xml:space="preserve">Hombres</t>
  </si>
  <si>
    <t xml:space="preserve">Índice de masculinidad (H por 100 M)</t>
  </si>
  <si>
    <t xml:space="preserve">Población 0-14</t>
  </si>
  <si>
    <t xml:space="preserve">Población 15-64</t>
  </si>
  <si>
    <t xml:space="preserve">Población 65+</t>
  </si>
  <si>
    <t xml:space="preserve">Razón de dependencia total (%)</t>
  </si>
  <si>
    <t xml:space="preserve">Índice de envejecimiento (65+ / 0-14 × 100)</t>
  </si>
  <si>
    <t xml:space="preserve">Crecimiento exponencial quinquenal (% anual)</t>
  </si>
  <si>
    <t xml:space="preserve">—</t>
  </si>
  <si>
    <t xml:space="preserve">Datos para la pirámide (% de la población total)</t>
  </si>
  <si>
    <t xml:space="preserve">Hombres 2020</t>
  </si>
  <si>
    <t xml:space="preserve">Mujeres 2020</t>
  </si>
  <si>
    <t xml:space="preserve">Hombres 2040</t>
  </si>
  <si>
    <t xml:space="preserve">Mujeres 2040</t>
  </si>
  <si>
    <t xml:space="preserve">Los hombres se muestran negativos para dibujar la pirámide; el formato oculta el signo.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</si>
</sst>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0.00000"/>
    <numFmt numFmtId="168" formatCode="0.000"/>
    <numFmt numFmtId="169" formatCode="0.00"/>
    <numFmt numFmtId="170" formatCode="0.0000"/>
    <numFmt numFmtId="171" formatCode="0.0"/>
    <numFmt numFmtId="172" formatCode="0.00%"/>
    <numFmt numFmtId="173" formatCode="0.0%;0.0%"/>
    <numFmt numFmtId="174" formatCode="0.0%"/>
    <numFmt numFmtId="175" formatCode="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Pirámide 2020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Resultados!B17</c:f>
              <c:strCache>
                <c:ptCount val="1"/>
                <c:pt idx="0">
                  <c:v>Hombres 2020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Resultados!$A$18:$A$35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Resultados!$B$18:$B$35</c:f>
              <c:numCache>
                <c:formatCode>0.0%;0.0%</c:formatCode>
                <c:ptCount val="18"/>
                <c:pt idx="0">
                  <c:v>-0.0407438041846644</c:v>
                </c:pt>
                <c:pt idx="1">
                  <c:v>-0.041816009557945</c:v>
                </c:pt>
                <c:pt idx="2">
                  <c:v>-0.0424797557414045</c:v>
                </c:pt>
                <c:pt idx="3">
                  <c:v>-0.0441748613791625</c:v>
                </c:pt>
                <c:pt idx="4">
                  <c:v>-0.0439093629057787</c:v>
                </c:pt>
                <c:pt idx="5">
                  <c:v>-0.0406110549479725</c:v>
                </c:pt>
                <c:pt idx="6">
                  <c:v>-0.036863441881363</c:v>
                </c:pt>
                <c:pt idx="7">
                  <c:v>-0.0335957683627935</c:v>
                </c:pt>
                <c:pt idx="8">
                  <c:v>-0.030716131074554</c:v>
                </c:pt>
                <c:pt idx="9">
                  <c:v>-0.0284900284900285</c:v>
                </c:pt>
                <c:pt idx="10">
                  <c:v>-0.0263047718244851</c:v>
                </c:pt>
                <c:pt idx="11">
                  <c:v>-0.0232311164210806</c:v>
                </c:pt>
                <c:pt idx="12">
                  <c:v>-0.0190852556443954</c:v>
                </c:pt>
                <c:pt idx="13">
                  <c:v>-0.0142143798057777</c:v>
                </c:pt>
                <c:pt idx="14">
                  <c:v>-0.0102931715834942</c:v>
                </c:pt>
                <c:pt idx="15">
                  <c:v>-0.00694380622696035</c:v>
                </c:pt>
                <c:pt idx="16">
                  <c:v>-0.00426839853363151</c:v>
                </c:pt>
                <c:pt idx="17">
                  <c:v>-0.00321661611984193</c:v>
                </c:pt>
              </c:numCache>
            </c:numRef>
          </c:val>
        </c:ser>
        <c:ser>
          <c:idx val="1"/>
          <c:order val="1"/>
          <c:tx>
            <c:strRef>
              <c:f>Resultados!C17</c:f>
              <c:strCache>
                <c:ptCount val="1"/>
                <c:pt idx="0">
                  <c:v>Mujeres 2020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Resultados!$A$18:$A$35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Resultados!$C$18:$C$35</c:f>
              <c:numCache>
                <c:formatCode>0.0%</c:formatCode>
                <c:ptCount val="18"/>
                <c:pt idx="0">
                  <c:v>0.0388036230330137</c:v>
                </c:pt>
                <c:pt idx="1">
                  <c:v>0.0398247710075667</c:v>
                </c:pt>
                <c:pt idx="2">
                  <c:v>0.0408459189821197</c:v>
                </c:pt>
                <c:pt idx="3">
                  <c:v>0.0428882149312257</c:v>
                </c:pt>
                <c:pt idx="4">
                  <c:v>0.0439093629057787</c:v>
                </c:pt>
                <c:pt idx="5">
                  <c:v>0.0418670669566727</c:v>
                </c:pt>
                <c:pt idx="6">
                  <c:v>0.0388036230330137</c:v>
                </c:pt>
                <c:pt idx="7">
                  <c:v>0.0357401791093547</c:v>
                </c:pt>
                <c:pt idx="8">
                  <c:v>0.0326767351856958</c:v>
                </c:pt>
                <c:pt idx="9">
                  <c:v>0.0306344392365898</c:v>
                </c:pt>
                <c:pt idx="10">
                  <c:v>0.0285921432874838</c:v>
                </c:pt>
                <c:pt idx="11">
                  <c:v>0.0255286993638248</c:v>
                </c:pt>
                <c:pt idx="12">
                  <c:v>0.0214441074656128</c:v>
                </c:pt>
                <c:pt idx="13">
                  <c:v>0.0163383675928479</c:v>
                </c:pt>
                <c:pt idx="14">
                  <c:v>0.0122537756946359</c:v>
                </c:pt>
                <c:pt idx="15">
                  <c:v>0.00867975778370044</c:v>
                </c:pt>
                <c:pt idx="16">
                  <c:v>0.00561631386004146</c:v>
                </c:pt>
                <c:pt idx="17">
                  <c:v>0.00459516588548847</c:v>
                </c:pt>
              </c:numCache>
            </c:numRef>
          </c:val>
        </c:ser>
        <c:gapWidth val="10"/>
        <c:overlap val="100"/>
        <c:axId val="50534545"/>
        <c:axId val="2040836"/>
      </c:barChart>
      <c:catAx>
        <c:axId val="50534545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0836"/>
        <c:crosses val="autoZero"/>
        <c:auto val="1"/>
        <c:lblAlgn val="ctr"/>
        <c:lblOffset val="100"/>
        <c:noMultiLvlLbl val="0"/>
      </c:catAx>
      <c:valAx>
        <c:axId val="2040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34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Pirámide 2040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Resultados!D17</c:f>
              <c:strCache>
                <c:ptCount val="1"/>
                <c:pt idx="0">
                  <c:v>Hombres 2040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Resultados!$A$18:$A$35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Resultados!$D$18:$D$35</c:f>
              <c:numCache>
                <c:formatCode>0.0%;0.0%</c:formatCode>
                <c:ptCount val="18"/>
                <c:pt idx="0">
                  <c:v>-0.0346648665449228</c:v>
                </c:pt>
                <c:pt idx="1">
                  <c:v>-0.0353992751770803</c:v>
                </c:pt>
                <c:pt idx="2">
                  <c:v>-0.0358689722598685</c:v>
                </c:pt>
                <c:pt idx="3">
                  <c:v>-0.0355409767554542</c:v>
                </c:pt>
                <c:pt idx="4">
                  <c:v>-0.0353008400122878</c:v>
                </c:pt>
                <c:pt idx="5">
                  <c:v>-0.0358854219098509</c:v>
                </c:pt>
                <c:pt idx="6">
                  <c:v>-0.0360886616739042</c:v>
                </c:pt>
                <c:pt idx="7">
                  <c:v>-0.0372389689447455</c:v>
                </c:pt>
                <c:pt idx="8">
                  <c:v>-0.0368068068743884</c:v>
                </c:pt>
                <c:pt idx="9">
                  <c:v>-0.0337148399363017</c:v>
                </c:pt>
                <c:pt idx="10">
                  <c:v>-0.0300011969181028</c:v>
                </c:pt>
                <c:pt idx="11">
                  <c:v>-0.0264244857941129</c:v>
                </c:pt>
                <c:pt idx="12">
                  <c:v>-0.0228852332547903</c:v>
                </c:pt>
                <c:pt idx="13">
                  <c:v>-0.0195053422796711</c:v>
                </c:pt>
                <c:pt idx="14">
                  <c:v>-0.015753072548915</c:v>
                </c:pt>
                <c:pt idx="15">
                  <c:v>-0.0112218498670526</c:v>
                </c:pt>
                <c:pt idx="16">
                  <c:v>-0.00655720927872454</c:v>
                </c:pt>
                <c:pt idx="17">
                  <c:v>-0.00391263559570145</c:v>
                </c:pt>
              </c:numCache>
            </c:numRef>
          </c:val>
        </c:ser>
        <c:ser>
          <c:idx val="1"/>
          <c:order val="1"/>
          <c:tx>
            <c:strRef>
              <c:f>Resultados!E17</c:f>
              <c:strCache>
                <c:ptCount val="1"/>
                <c:pt idx="0">
                  <c:v>Mujeres 2040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Resultados!$A$18:$A$35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Resultados!$E$18:$E$35</c:f>
              <c:numCache>
                <c:formatCode>0.0%</c:formatCode>
                <c:ptCount val="18"/>
                <c:pt idx="0">
                  <c:v>0.0330980172519052</c:v>
                </c:pt>
                <c:pt idx="1">
                  <c:v>0.0338125161554975</c:v>
                </c:pt>
                <c:pt idx="2">
                  <c:v>0.0342744272675704</c:v>
                </c:pt>
                <c:pt idx="3">
                  <c:v>0.0340513212911368</c:v>
                </c:pt>
                <c:pt idx="4">
                  <c:v>0.0339530294008287</c:v>
                </c:pt>
                <c:pt idx="5">
                  <c:v>0.0347655921656971</c:v>
                </c:pt>
                <c:pt idx="6">
                  <c:v>0.0355189284584644</c:v>
                </c:pt>
                <c:pt idx="7">
                  <c:v>0.0371325408751179</c:v>
                </c:pt>
                <c:pt idx="8">
                  <c:v>0.0378001572984511</c:v>
                </c:pt>
                <c:pt idx="9">
                  <c:v>0.035693531406184</c:v>
                </c:pt>
                <c:pt idx="10">
                  <c:v>0.032541421442678</c:v>
                </c:pt>
                <c:pt idx="11">
                  <c:v>0.0291899940053654</c:v>
                </c:pt>
                <c:pt idx="12">
                  <c:v>0.0255969270420238</c:v>
                </c:pt>
                <c:pt idx="13">
                  <c:v>0.0224525484847451</c:v>
                </c:pt>
                <c:pt idx="14">
                  <c:v>0.018790143861497</c:v>
                </c:pt>
                <c:pt idx="15">
                  <c:v>0.0139832937118363</c:v>
                </c:pt>
                <c:pt idx="16">
                  <c:v>0.00870062233192184</c:v>
                </c:pt>
                <c:pt idx="17">
                  <c:v>0.00587433192320412</c:v>
                </c:pt>
              </c:numCache>
            </c:numRef>
          </c:val>
        </c:ser>
        <c:gapWidth val="10"/>
        <c:overlap val="100"/>
        <c:axId val="10372482"/>
        <c:axId val="88269770"/>
      </c:barChart>
      <c:catAx>
        <c:axId val="1037248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69770"/>
        <c:crosses val="autoZero"/>
        <c:auto val="1"/>
        <c:lblAlgn val="ctr"/>
        <c:lblOffset val="100"/>
        <c:noMultiLvlLbl val="0"/>
      </c:catAx>
      <c:valAx>
        <c:axId val="88269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72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15</xdr:col>
      <xdr:colOff>147600</xdr:colOff>
      <xdr:row>18</xdr:row>
      <xdr:rowOff>11160</xdr:rowOff>
    </xdr:to>
    <xdr:graphicFrame>
      <xdr:nvGraphicFramePr>
        <xdr:cNvPr id="0" name="Chart 1"/>
        <xdr:cNvGraphicFramePr/>
      </xdr:nvGraphicFramePr>
      <xdr:xfrm>
        <a:off x="794196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10080</xdr:rowOff>
    </xdr:from>
    <xdr:to>
      <xdr:col>15</xdr:col>
      <xdr:colOff>147600</xdr:colOff>
      <xdr:row>36</xdr:row>
      <xdr:rowOff>11160</xdr:rowOff>
    </xdr:to>
    <xdr:graphicFrame>
      <xdr:nvGraphicFramePr>
        <xdr:cNvPr id="1" name="Chart 2"/>
        <xdr:cNvGraphicFramePr/>
      </xdr:nvGraphicFramePr>
      <xdr:xfrm>
        <a:off x="7941960" y="3809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6" t="s">
        <v>6</v>
      </c>
      <c r="B6" s="4" t="s">
        <v>7</v>
      </c>
    </row>
    <row r="8" customFormat="false" ht="15" hidden="false" customHeight="false" outlineLevel="0" collapsed="false">
      <c r="A8" s="2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</row>
    <row r="10" customFormat="false" ht="15" hidden="false" customHeight="false" outlineLevel="0" collapsed="false">
      <c r="A10" s="4" t="s">
        <v>11</v>
      </c>
      <c r="B10" s="4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4" customFormat="false" ht="15" hidden="false" customHeight="false" outlineLevel="0" collapsed="false">
      <c r="A14" s="4" t="s">
        <v>19</v>
      </c>
      <c r="B14" s="4" t="s">
        <v>20</v>
      </c>
    </row>
    <row r="15" customFormat="false" ht="15" hidden="false" customHeight="false" outlineLevel="0" collapsed="false">
      <c r="A15" s="4" t="s">
        <v>21</v>
      </c>
      <c r="B15" s="4" t="s">
        <v>22</v>
      </c>
    </row>
    <row r="17" customFormat="false" ht="15" hidden="false" customHeight="false" outlineLevel="0" collapsed="false">
      <c r="A17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4" t="s">
        <v>25</v>
      </c>
      <c r="B2" s="8" t="n">
        <v>2020</v>
      </c>
      <c r="D2" s="4" t="s">
        <v>26</v>
      </c>
      <c r="F2" s="9" t="n">
        <v>100000</v>
      </c>
    </row>
    <row r="4" customFormat="false" ht="26.85" hidden="false" customHeight="false" outlineLevel="0" collapsed="false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</row>
    <row r="5" customFormat="false" ht="15" hidden="false" customHeight="false" outlineLevel="0" collapsed="false">
      <c r="A5" s="5" t="s">
        <v>34</v>
      </c>
      <c r="B5" s="9" t="n">
        <v>38000</v>
      </c>
      <c r="C5" s="9" t="n">
        <v>39900</v>
      </c>
      <c r="D5" s="9" t="n">
        <v>493597.1</v>
      </c>
      <c r="E5" s="9" t="n">
        <v>492346.5</v>
      </c>
      <c r="F5" s="11" t="n">
        <f aca="false">D6/D5</f>
        <v>0.998095005015224</v>
      </c>
      <c r="G5" s="11" t="n">
        <f aca="false">E6/E5</f>
        <v>0.997702837331026</v>
      </c>
    </row>
    <row r="6" customFormat="false" ht="15" hidden="false" customHeight="false" outlineLevel="0" collapsed="false">
      <c r="A6" s="5" t="s">
        <v>35</v>
      </c>
      <c r="B6" s="9" t="n">
        <v>39000</v>
      </c>
      <c r="C6" s="9" t="n">
        <v>40950</v>
      </c>
      <c r="D6" s="9" t="n">
        <v>492656.8</v>
      </c>
      <c r="E6" s="9" t="n">
        <v>491215.5</v>
      </c>
      <c r="F6" s="11" t="n">
        <f aca="false">D7/D6</f>
        <v>0.99886290009597</v>
      </c>
      <c r="G6" s="11" t="n">
        <f aca="false">E7/E6</f>
        <v>0.998476228864928</v>
      </c>
    </row>
    <row r="7" customFormat="false" ht="15" hidden="false" customHeight="false" outlineLevel="0" collapsed="false">
      <c r="A7" s="5" t="s">
        <v>36</v>
      </c>
      <c r="B7" s="9" t="n">
        <v>40000</v>
      </c>
      <c r="C7" s="9" t="n">
        <v>41600</v>
      </c>
      <c r="D7" s="9" t="n">
        <v>492096.6</v>
      </c>
      <c r="E7" s="9" t="n">
        <v>490467</v>
      </c>
      <c r="F7" s="11" t="n">
        <f aca="false">D8/D7</f>
        <v>0.997890048417323</v>
      </c>
      <c r="G7" s="11" t="n">
        <f aca="false">E8/E7</f>
        <v>0.995243512815337</v>
      </c>
    </row>
    <row r="8" customFormat="false" ht="15" hidden="false" customHeight="false" outlineLevel="0" collapsed="false">
      <c r="A8" s="5" t="s">
        <v>37</v>
      </c>
      <c r="B8" s="9" t="n">
        <v>42000</v>
      </c>
      <c r="C8" s="9" t="n">
        <v>43260</v>
      </c>
      <c r="D8" s="9" t="n">
        <v>491058.3</v>
      </c>
      <c r="E8" s="9" t="n">
        <v>488134.1</v>
      </c>
      <c r="F8" s="11" t="n">
        <f aca="false">D9/D8</f>
        <v>0.996541958459922</v>
      </c>
      <c r="G8" s="11" t="n">
        <f aca="false">E9/E8</f>
        <v>0.990159056701837</v>
      </c>
    </row>
    <row r="9" customFormat="false" ht="15" hidden="false" customHeight="false" outlineLevel="0" collapsed="false">
      <c r="A9" s="5" t="s">
        <v>38</v>
      </c>
      <c r="B9" s="9" t="n">
        <v>43000</v>
      </c>
      <c r="C9" s="9" t="n">
        <v>43000</v>
      </c>
      <c r="D9" s="9" t="n">
        <v>489360.2</v>
      </c>
      <c r="E9" s="9" t="n">
        <v>483330.4</v>
      </c>
      <c r="F9" s="11" t="n">
        <f aca="false">D10/D9</f>
        <v>0.99577673051466</v>
      </c>
      <c r="G9" s="11" t="n">
        <f aca="false">E10/E9</f>
        <v>0.988219031949987</v>
      </c>
    </row>
    <row r="10" customFormat="false" ht="15" hidden="false" customHeight="false" outlineLevel="0" collapsed="false">
      <c r="A10" s="5" t="s">
        <v>39</v>
      </c>
      <c r="B10" s="9" t="n">
        <v>41000</v>
      </c>
      <c r="C10" s="9" t="n">
        <v>39770</v>
      </c>
      <c r="D10" s="9" t="n">
        <v>487293.5</v>
      </c>
      <c r="E10" s="9" t="n">
        <v>477636.3</v>
      </c>
      <c r="F10" s="11" t="n">
        <f aca="false">D11/D10</f>
        <v>0.994994597711646</v>
      </c>
      <c r="G10" s="11" t="n">
        <f aca="false">E11/E10</f>
        <v>0.988441623888302</v>
      </c>
    </row>
    <row r="11" customFormat="false" ht="15" hidden="false" customHeight="false" outlineLevel="0" collapsed="false">
      <c r="A11" s="5" t="s">
        <v>40</v>
      </c>
      <c r="B11" s="9" t="n">
        <v>38000</v>
      </c>
      <c r="C11" s="9" t="n">
        <v>36100</v>
      </c>
      <c r="D11" s="9" t="n">
        <v>484854.4</v>
      </c>
      <c r="E11" s="9" t="n">
        <v>472115.6</v>
      </c>
      <c r="F11" s="11" t="n">
        <f aca="false">D12/D11</f>
        <v>0.993546516232502</v>
      </c>
      <c r="G11" s="11" t="n">
        <f aca="false">E12/E11</f>
        <v>0.987558979199162</v>
      </c>
    </row>
    <row r="12" customFormat="false" ht="15" hidden="false" customHeight="false" outlineLevel="0" collapsed="false">
      <c r="A12" s="5" t="s">
        <v>41</v>
      </c>
      <c r="B12" s="9" t="n">
        <v>35000</v>
      </c>
      <c r="C12" s="9" t="n">
        <v>32900</v>
      </c>
      <c r="D12" s="9" t="n">
        <v>481725.4</v>
      </c>
      <c r="E12" s="9" t="n">
        <v>466242</v>
      </c>
      <c r="F12" s="11" t="n">
        <f aca="false">D13/D12</f>
        <v>0.99086699601059</v>
      </c>
      <c r="G12" s="11" t="n">
        <f aca="false">E13/E12</f>
        <v>0.984585687261122</v>
      </c>
    </row>
    <row r="13" customFormat="false" ht="15" hidden="false" customHeight="false" outlineLevel="0" collapsed="false">
      <c r="A13" s="5" t="s">
        <v>42</v>
      </c>
      <c r="B13" s="9" t="n">
        <v>32000</v>
      </c>
      <c r="C13" s="9" t="n">
        <v>30080</v>
      </c>
      <c r="D13" s="9" t="n">
        <v>477325.8</v>
      </c>
      <c r="E13" s="9" t="n">
        <v>459055.2</v>
      </c>
      <c r="F13" s="11" t="n">
        <f aca="false">D14/D13</f>
        <v>0.986148873578591</v>
      </c>
      <c r="G13" s="11" t="n">
        <f aca="false">E14/E13</f>
        <v>0.978721295391055</v>
      </c>
    </row>
    <row r="14" customFormat="false" ht="15" hidden="false" customHeight="false" outlineLevel="0" collapsed="false">
      <c r="A14" s="5" t="s">
        <v>43</v>
      </c>
      <c r="B14" s="9" t="n">
        <v>30000</v>
      </c>
      <c r="C14" s="9" t="n">
        <v>27900</v>
      </c>
      <c r="D14" s="9" t="n">
        <v>470714.3</v>
      </c>
      <c r="E14" s="9" t="n">
        <v>449287.1</v>
      </c>
      <c r="F14" s="11" t="n">
        <f aca="false">D15/D14</f>
        <v>0.978741457397831</v>
      </c>
      <c r="G14" s="11" t="n">
        <f aca="false">E15/E14</f>
        <v>0.96898464255929</v>
      </c>
    </row>
    <row r="15" customFormat="false" ht="15" hidden="false" customHeight="false" outlineLevel="0" collapsed="false">
      <c r="A15" s="5" t="s">
        <v>44</v>
      </c>
      <c r="B15" s="9" t="n">
        <v>28000</v>
      </c>
      <c r="C15" s="9" t="n">
        <v>25760</v>
      </c>
      <c r="D15" s="9" t="n">
        <v>460707.6</v>
      </c>
      <c r="E15" s="9" t="n">
        <v>435352.3</v>
      </c>
      <c r="F15" s="11" t="n">
        <f aca="false">D16/D15</f>
        <v>0.967611995113604</v>
      </c>
      <c r="G15" s="11" t="n">
        <f aca="false">E16/E15</f>
        <v>0.954426105018855</v>
      </c>
    </row>
    <row r="16" customFormat="false" ht="15" hidden="false" customHeight="false" outlineLevel="0" collapsed="false">
      <c r="A16" s="5" t="s">
        <v>45</v>
      </c>
      <c r="B16" s="9" t="n">
        <v>25000</v>
      </c>
      <c r="C16" s="9" t="n">
        <v>22750</v>
      </c>
      <c r="D16" s="9" t="n">
        <v>445786.2</v>
      </c>
      <c r="E16" s="9" t="n">
        <v>415511.6</v>
      </c>
      <c r="F16" s="11" t="n">
        <f aca="false">D17/D16</f>
        <v>0.950358041590341</v>
      </c>
      <c r="G16" s="11" t="n">
        <f aca="false">E17/E16</f>
        <v>0.932653625073283</v>
      </c>
    </row>
    <row r="17" customFormat="false" ht="15" hidden="false" customHeight="false" outlineLevel="0" collapsed="false">
      <c r="A17" s="5" t="s">
        <v>46</v>
      </c>
      <c r="B17" s="9" t="n">
        <v>21000</v>
      </c>
      <c r="C17" s="9" t="n">
        <v>18690</v>
      </c>
      <c r="D17" s="9" t="n">
        <v>423656.5</v>
      </c>
      <c r="E17" s="9" t="n">
        <v>387528.4</v>
      </c>
      <c r="F17" s="11" t="n">
        <f aca="false">D18/D17</f>
        <v>0.92267556381172</v>
      </c>
      <c r="G17" s="11" t="n">
        <f aca="false">E18/E17</f>
        <v>0.899354473117325</v>
      </c>
    </row>
    <row r="18" customFormat="false" ht="15" hidden="false" customHeight="false" outlineLevel="0" collapsed="false">
      <c r="A18" s="5" t="s">
        <v>47</v>
      </c>
      <c r="B18" s="9" t="n">
        <v>16000</v>
      </c>
      <c r="C18" s="9" t="n">
        <v>13920</v>
      </c>
      <c r="D18" s="9" t="n">
        <v>390897.5</v>
      </c>
      <c r="E18" s="9" t="n">
        <v>348525.4</v>
      </c>
      <c r="F18" s="11" t="n">
        <f aca="false">D19/D18</f>
        <v>0.87759809157132</v>
      </c>
      <c r="G18" s="11" t="n">
        <f aca="false">E19/E18</f>
        <v>0.847592169752908</v>
      </c>
    </row>
    <row r="19" customFormat="false" ht="15" hidden="false" customHeight="false" outlineLevel="0" collapsed="false">
      <c r="A19" s="5" t="s">
        <v>48</v>
      </c>
      <c r="B19" s="9" t="n">
        <v>12000</v>
      </c>
      <c r="C19" s="9" t="n">
        <v>10080</v>
      </c>
      <c r="D19" s="9" t="n">
        <v>343050.9</v>
      </c>
      <c r="E19" s="9" t="n">
        <v>295407.4</v>
      </c>
      <c r="F19" s="11" t="n">
        <f aca="false">D20/D19</f>
        <v>0.806489357701729</v>
      </c>
      <c r="G19" s="11" t="n">
        <f aca="false">E20/E19</f>
        <v>0.769849705863834</v>
      </c>
    </row>
    <row r="20" customFormat="false" ht="15" hidden="false" customHeight="false" outlineLevel="0" collapsed="false">
      <c r="A20" s="5" t="s">
        <v>49</v>
      </c>
      <c r="B20" s="9" t="n">
        <v>8500</v>
      </c>
      <c r="C20" s="9" t="n">
        <v>6800</v>
      </c>
      <c r="D20" s="9" t="n">
        <v>276666.9</v>
      </c>
      <c r="E20" s="9" t="n">
        <v>227419.3</v>
      </c>
      <c r="F20" s="11" t="n">
        <f aca="false">D21/D20</f>
        <v>0.703961334008513</v>
      </c>
      <c r="G20" s="11" t="n">
        <f aca="false">E21/E20</f>
        <v>0.663356628043442</v>
      </c>
    </row>
    <row r="21" customFormat="false" ht="15" hidden="false" customHeight="false" outlineLevel="0" collapsed="false">
      <c r="A21" s="5" t="s">
        <v>50</v>
      </c>
      <c r="B21" s="9" t="n">
        <v>5500</v>
      </c>
      <c r="C21" s="9" t="n">
        <v>4180</v>
      </c>
      <c r="D21" s="9" t="n">
        <v>194762.8</v>
      </c>
      <c r="E21" s="9" t="n">
        <v>150860.1</v>
      </c>
      <c r="F21" s="11" t="n">
        <f aca="false">D22/(D21+D22)</f>
        <v>0.476923151296649</v>
      </c>
      <c r="G21" s="11" t="n">
        <f aca="false">E22/(E21+E22)</f>
        <v>0.442207342995669</v>
      </c>
    </row>
    <row r="22" customFormat="false" ht="15" hidden="false" customHeight="false" outlineLevel="0" collapsed="false">
      <c r="A22" s="5" t="s">
        <v>51</v>
      </c>
      <c r="B22" s="9" t="n">
        <v>4500</v>
      </c>
      <c r="C22" s="9" t="n">
        <v>3150</v>
      </c>
      <c r="D22" s="9" t="n">
        <v>177577.9</v>
      </c>
      <c r="E22" s="9" t="n">
        <v>119599</v>
      </c>
    </row>
    <row r="23" customFormat="false" ht="15" hidden="false" customHeight="false" outlineLevel="0" collapsed="false">
      <c r="A23" s="2" t="s">
        <v>52</v>
      </c>
      <c r="B23" s="12" t="n">
        <f aca="false">SUM(B5:B22)</f>
        <v>498500</v>
      </c>
      <c r="C23" s="12" t="n">
        <f aca="false">SUM(C5:C22)</f>
        <v>480790</v>
      </c>
    </row>
    <row r="24" customFormat="false" ht="15" hidden="false" customHeight="false" outlineLevel="0" collapsed="false">
      <c r="A24" s="4" t="s">
        <v>53</v>
      </c>
      <c r="F24" s="11" t="n">
        <f aca="false">D5/(5*$F$2)</f>
        <v>0.9871942</v>
      </c>
      <c r="G24" s="11" t="n">
        <f aca="false">E5/(5*$F$2)</f>
        <v>0.984693</v>
      </c>
    </row>
    <row r="26" customFormat="false" ht="15" hidden="false" customHeight="false" outlineLevel="0" collapsed="false">
      <c r="A26" s="2" t="s">
        <v>54</v>
      </c>
    </row>
    <row r="27" customFormat="false" ht="39.55" hidden="false" customHeight="false" outlineLevel="0" collapsed="false">
      <c r="A27" s="10" t="s">
        <v>27</v>
      </c>
      <c r="B27" s="10" t="s">
        <v>55</v>
      </c>
    </row>
    <row r="28" customFormat="false" ht="15" hidden="false" customHeight="false" outlineLevel="0" collapsed="false">
      <c r="A28" s="5" t="s">
        <v>37</v>
      </c>
      <c r="B28" s="13" t="n">
        <v>0.065</v>
      </c>
    </row>
    <row r="29" customFormat="false" ht="15" hidden="false" customHeight="false" outlineLevel="0" collapsed="false">
      <c r="A29" s="5" t="s">
        <v>38</v>
      </c>
      <c r="B29" s="13" t="n">
        <v>0.105</v>
      </c>
    </row>
    <row r="30" customFormat="false" ht="15" hidden="false" customHeight="false" outlineLevel="0" collapsed="false">
      <c r="A30" s="5" t="s">
        <v>39</v>
      </c>
      <c r="B30" s="13" t="n">
        <v>0.095</v>
      </c>
    </row>
    <row r="31" customFormat="false" ht="15" hidden="false" customHeight="false" outlineLevel="0" collapsed="false">
      <c r="A31" s="5" t="s">
        <v>40</v>
      </c>
      <c r="B31" s="13" t="n">
        <v>0.07</v>
      </c>
    </row>
    <row r="32" customFormat="false" ht="15" hidden="false" customHeight="false" outlineLevel="0" collapsed="false">
      <c r="A32" s="5" t="s">
        <v>41</v>
      </c>
      <c r="B32" s="13" t="n">
        <v>0.04</v>
      </c>
    </row>
    <row r="33" customFormat="false" ht="15" hidden="false" customHeight="false" outlineLevel="0" collapsed="false">
      <c r="A33" s="5" t="s">
        <v>42</v>
      </c>
      <c r="B33" s="13" t="n">
        <v>0.012</v>
      </c>
    </row>
    <row r="34" customFormat="false" ht="15" hidden="false" customHeight="false" outlineLevel="0" collapsed="false">
      <c r="A34" s="5" t="s">
        <v>43</v>
      </c>
      <c r="B34" s="13" t="n">
        <v>0.002</v>
      </c>
    </row>
    <row r="35" customFormat="false" ht="15" hidden="false" customHeight="false" outlineLevel="0" collapsed="false">
      <c r="A35" s="2" t="s">
        <v>56</v>
      </c>
      <c r="B35" s="14" t="n">
        <f aca="false">5*SUM(B28:B34)</f>
        <v>1.945</v>
      </c>
    </row>
    <row r="36" customFormat="false" ht="15" hidden="false" customHeight="false" outlineLevel="0" collapsed="false">
      <c r="A36" s="4" t="s">
        <v>57</v>
      </c>
      <c r="B36" s="15" t="n">
        <v>1.05</v>
      </c>
    </row>
    <row r="37" customFormat="false" ht="15" hidden="false" customHeight="false" outlineLevel="0" collapsed="false">
      <c r="A37" s="4" t="s">
        <v>58</v>
      </c>
      <c r="B37" s="16" t="n">
        <f aca="false">1/(1+B36)</f>
        <v>0.487804878048781</v>
      </c>
    </row>
    <row r="39" customFormat="false" ht="15" hidden="false" customHeight="false" outlineLevel="0" collapsed="false">
      <c r="A39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1"/>
    <col collapsed="false" customWidth="true" hidden="false" outlineLevel="0" max="7" min="7" style="0" width="3"/>
    <col collapsed="false" customWidth="true" hidden="false" outlineLevel="0" max="13" min="8" style="0" width="11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17" t="s">
        <v>61</v>
      </c>
      <c r="H3" s="17" t="s">
        <v>62</v>
      </c>
    </row>
    <row r="4" customFormat="false" ht="15" hidden="false" customHeight="false" outlineLevel="0" collapsed="false">
      <c r="A4" s="10" t="s">
        <v>27</v>
      </c>
      <c r="B4" s="18" t="n">
        <f aca="false">Supuestos!$B$2</f>
        <v>2020</v>
      </c>
      <c r="C4" s="18" t="n">
        <f aca="false">B4+5</f>
        <v>2025</v>
      </c>
      <c r="D4" s="18" t="n">
        <f aca="false">C4+5</f>
        <v>2030</v>
      </c>
      <c r="E4" s="18" t="n">
        <f aca="false">D4+5</f>
        <v>2035</v>
      </c>
      <c r="F4" s="18" t="n">
        <f aca="false">E4+5</f>
        <v>2040</v>
      </c>
      <c r="H4" s="10" t="s">
        <v>27</v>
      </c>
      <c r="I4" s="18" t="n">
        <f aca="false">Supuestos!$B$2</f>
        <v>2020</v>
      </c>
      <c r="J4" s="18" t="n">
        <f aca="false">I4+5</f>
        <v>2025</v>
      </c>
      <c r="K4" s="18" t="n">
        <f aca="false">J4+5</f>
        <v>2030</v>
      </c>
      <c r="L4" s="18" t="n">
        <f aca="false">K4+5</f>
        <v>2035</v>
      </c>
      <c r="M4" s="18" t="n">
        <f aca="false">L4+5</f>
        <v>2040</v>
      </c>
    </row>
    <row r="5" customFormat="false" ht="15" hidden="false" customHeight="false" outlineLevel="0" collapsed="false">
      <c r="A5" s="5" t="s">
        <v>34</v>
      </c>
      <c r="B5" s="12" t="n">
        <f aca="false">Supuestos!B5</f>
        <v>38000</v>
      </c>
      <c r="C5" s="12" t="n">
        <f aca="false">B35*Supuestos!$F$24</f>
        <v>37978.2216269041</v>
      </c>
      <c r="D5" s="12" t="n">
        <f aca="false">C35*Supuestos!$F$24</f>
        <v>38146.3996135092</v>
      </c>
      <c r="E5" s="12" t="n">
        <f aca="false">D35*Supuestos!$F$24</f>
        <v>37589.5148417161</v>
      </c>
      <c r="F5" s="12" t="n">
        <f aca="false">E35*Supuestos!$F$24</f>
        <v>36725.1087608628</v>
      </c>
      <c r="H5" s="5" t="s">
        <v>34</v>
      </c>
      <c r="I5" s="12" t="n">
        <f aca="false">Supuestos!C5</f>
        <v>39900</v>
      </c>
      <c r="J5" s="12" t="n">
        <f aca="false">B36*Supuestos!$G$24</f>
        <v>39776.0981961646</v>
      </c>
      <c r="K5" s="12" t="n">
        <f aca="false">C36*Supuestos!$G$24</f>
        <v>39952.2376735565</v>
      </c>
      <c r="L5" s="12" t="n">
        <f aca="false">D36*Supuestos!$G$24</f>
        <v>39368.9901591152</v>
      </c>
      <c r="M5" s="12" t="n">
        <f aca="false">E36*Supuestos!$G$24</f>
        <v>38463.6633775941</v>
      </c>
    </row>
    <row r="6" customFormat="false" ht="15" hidden="false" customHeight="false" outlineLevel="0" collapsed="false">
      <c r="A6" s="5" t="s">
        <v>35</v>
      </c>
      <c r="B6" s="12" t="n">
        <f aca="false">Supuestos!B6</f>
        <v>39000</v>
      </c>
      <c r="C6" s="12" t="n">
        <f aca="false">B5*Supuestos!$F$5</f>
        <v>37927.6101905785</v>
      </c>
      <c r="D6" s="12" t="n">
        <f aca="false">C5*Supuestos!$F$5</f>
        <v>37905.8733051742</v>
      </c>
      <c r="E6" s="12" t="n">
        <f aca="false">D5*Supuestos!$F$5</f>
        <v>38073.7309135582</v>
      </c>
      <c r="F6" s="12" t="n">
        <f aca="false">E5*Supuestos!$F$5</f>
        <v>37517.9070044624</v>
      </c>
      <c r="H6" s="5" t="s">
        <v>35</v>
      </c>
      <c r="I6" s="12" t="n">
        <f aca="false">Supuestos!C6</f>
        <v>40950</v>
      </c>
      <c r="J6" s="12" t="n">
        <f aca="false">I5*Supuestos!$G$5</f>
        <v>39808.3432095079</v>
      </c>
      <c r="K6" s="12" t="n">
        <f aca="false">J5*Supuestos!$G$5</f>
        <v>39684.7260282709</v>
      </c>
      <c r="L6" s="12" t="n">
        <f aca="false">K5*Supuestos!$G$5</f>
        <v>39860.4608846308</v>
      </c>
      <c r="M6" s="12" t="n">
        <f aca="false">L5*Supuestos!$G$5</f>
        <v>39278.5531846065</v>
      </c>
    </row>
    <row r="7" customFormat="false" ht="15" hidden="false" customHeight="false" outlineLevel="0" collapsed="false">
      <c r="A7" s="5" t="s">
        <v>36</v>
      </c>
      <c r="B7" s="12" t="n">
        <f aca="false">Supuestos!B7</f>
        <v>40000</v>
      </c>
      <c r="C7" s="12" t="n">
        <f aca="false">B6*Supuestos!$F$6</f>
        <v>38955.6531037428</v>
      </c>
      <c r="D7" s="12" t="n">
        <f aca="false">C6*Supuestos!$F$6</f>
        <v>37884.4827086707</v>
      </c>
      <c r="E7" s="12" t="n">
        <f aca="false">D6*Supuestos!$F$6</f>
        <v>37862.7705402767</v>
      </c>
      <c r="F7" s="12" t="n">
        <f aca="false">E6*Supuestos!$F$6</f>
        <v>38030.4372777903</v>
      </c>
      <c r="H7" s="5" t="s">
        <v>36</v>
      </c>
      <c r="I7" s="12" t="n">
        <f aca="false">Supuestos!C7</f>
        <v>41600</v>
      </c>
      <c r="J7" s="12" t="n">
        <f aca="false">I6*Supuestos!$G$6</f>
        <v>40887.6015720188</v>
      </c>
      <c r="K7" s="12" t="n">
        <f aca="false">J6*Supuestos!$G$6</f>
        <v>39747.6844051903</v>
      </c>
      <c r="L7" s="12" t="n">
        <f aca="false">K6*Supuestos!$G$6</f>
        <v>39624.2555882458</v>
      </c>
      <c r="M7" s="12" t="n">
        <f aca="false">L6*Supuestos!$G$6</f>
        <v>39799.7226649042</v>
      </c>
    </row>
    <row r="8" customFormat="false" ht="15" hidden="false" customHeight="false" outlineLevel="0" collapsed="false">
      <c r="A8" s="5" t="s">
        <v>37</v>
      </c>
      <c r="B8" s="12" t="n">
        <f aca="false">Supuestos!B8</f>
        <v>42000</v>
      </c>
      <c r="C8" s="12" t="n">
        <f aca="false">B7*Supuestos!$F$7</f>
        <v>39915.6019366929</v>
      </c>
      <c r="D8" s="12" t="n">
        <f aca="false">C7*Supuestos!$F$7</f>
        <v>38873.4585618224</v>
      </c>
      <c r="E8" s="12" t="n">
        <f aca="false">D7*Supuestos!$F$7</f>
        <v>37804.5482844206</v>
      </c>
      <c r="F8" s="12" t="n">
        <f aca="false">E7*Supuestos!$F$7</f>
        <v>37782.8819276507</v>
      </c>
      <c r="H8" s="5" t="s">
        <v>37</v>
      </c>
      <c r="I8" s="12" t="n">
        <f aca="false">Supuestos!C8</f>
        <v>43260</v>
      </c>
      <c r="J8" s="12" t="n">
        <f aca="false">I7*Supuestos!$G$7</f>
        <v>41402.130133118</v>
      </c>
      <c r="K8" s="12" t="n">
        <f aca="false">J7*Supuestos!$G$7</f>
        <v>40693.1202191299</v>
      </c>
      <c r="L8" s="12" t="n">
        <f aca="false">K7*Supuestos!$G$7</f>
        <v>39558.6250536969</v>
      </c>
      <c r="M8" s="12" t="n">
        <f aca="false">L7*Supuestos!$G$7</f>
        <v>39435.7833243385</v>
      </c>
    </row>
    <row r="9" customFormat="false" ht="15" hidden="false" customHeight="false" outlineLevel="0" collapsed="false">
      <c r="A9" s="5" t="s">
        <v>38</v>
      </c>
      <c r="B9" s="12" t="n">
        <f aca="false">Supuestos!B9</f>
        <v>43000</v>
      </c>
      <c r="C9" s="12" t="n">
        <f aca="false">B8*Supuestos!$F$8</f>
        <v>41854.7622553167</v>
      </c>
      <c r="D9" s="12" t="n">
        <f aca="false">C8*Supuestos!$F$8</f>
        <v>39777.5721270986</v>
      </c>
      <c r="E9" s="12" t="n">
        <f aca="false">D8*Supuestos!$F$8</f>
        <v>38739.0325273091</v>
      </c>
      <c r="F9" s="12" t="n">
        <f aca="false">E8*Supuestos!$F$8</f>
        <v>37673.8185860492</v>
      </c>
      <c r="H9" s="5" t="s">
        <v>38</v>
      </c>
      <c r="I9" s="12" t="n">
        <f aca="false">Supuestos!C9</f>
        <v>43000</v>
      </c>
      <c r="J9" s="12" t="n">
        <f aca="false">I8*Supuestos!$G$8</f>
        <v>42834.2807929215</v>
      </c>
      <c r="K9" s="12" t="n">
        <f aca="false">J8*Supuestos!$G$8</f>
        <v>40994.6941180548</v>
      </c>
      <c r="L9" s="12" t="n">
        <f aca="false">K8*Supuestos!$G$8</f>
        <v>40292.6615304281</v>
      </c>
      <c r="M9" s="12" t="n">
        <f aca="false">L8*Supuestos!$G$8</f>
        <v>39169.3308675902</v>
      </c>
    </row>
    <row r="10" customFormat="false" ht="15" hidden="false" customHeight="false" outlineLevel="0" collapsed="false">
      <c r="A10" s="5" t="s">
        <v>39</v>
      </c>
      <c r="B10" s="12" t="n">
        <f aca="false">Supuestos!B10</f>
        <v>41000</v>
      </c>
      <c r="C10" s="12" t="n">
        <f aca="false">B9*Supuestos!$F$9</f>
        <v>42818.3994121304</v>
      </c>
      <c r="D10" s="12" t="n">
        <f aca="false">C9*Supuestos!$F$9</f>
        <v>41677.9983150677</v>
      </c>
      <c r="E10" s="12" t="n">
        <f aca="false">D9*Supuestos!$F$9</f>
        <v>39609.5807205333</v>
      </c>
      <c r="F10" s="12" t="n">
        <f aca="false">E9*Supuestos!$F$9</f>
        <v>38575.4271533449</v>
      </c>
      <c r="H10" s="5" t="s">
        <v>39</v>
      </c>
      <c r="I10" s="12" t="n">
        <f aca="false">Supuestos!C10</f>
        <v>39770</v>
      </c>
      <c r="J10" s="12" t="n">
        <f aca="false">I9*Supuestos!$G$9</f>
        <v>42493.4183738494</v>
      </c>
      <c r="K10" s="12" t="n">
        <f aca="false">J9*Supuestos!$G$9</f>
        <v>42329.6514994548</v>
      </c>
      <c r="L10" s="12" t="n">
        <f aca="false">K9*Supuestos!$G$9</f>
        <v>40511.73693643</v>
      </c>
      <c r="M10" s="12" t="n">
        <f aca="false">L9*Supuestos!$G$9</f>
        <v>39817.9749722881</v>
      </c>
    </row>
    <row r="11" customFormat="false" ht="15" hidden="false" customHeight="false" outlineLevel="0" collapsed="false">
      <c r="A11" s="5" t="s">
        <v>40</v>
      </c>
      <c r="B11" s="12" t="n">
        <f aca="false">Supuestos!B11</f>
        <v>38000</v>
      </c>
      <c r="C11" s="12" t="n">
        <f aca="false">B10*Supuestos!$F$10</f>
        <v>40794.7785061775</v>
      </c>
      <c r="D11" s="12" t="n">
        <f aca="false">C10*Supuestos!$F$10</f>
        <v>42604.0760977292</v>
      </c>
      <c r="E11" s="12" t="n">
        <f aca="false">D10*Supuestos!$F$10</f>
        <v>41469.3831669274</v>
      </c>
      <c r="F11" s="12" t="n">
        <f aca="false">E10*Supuestos!$F$10</f>
        <v>39411.318834554</v>
      </c>
      <c r="H11" s="5" t="s">
        <v>40</v>
      </c>
      <c r="I11" s="12" t="n">
        <f aca="false">Supuestos!C11</f>
        <v>36100</v>
      </c>
      <c r="J11" s="12" t="n">
        <f aca="false">I10*Supuestos!$G$10</f>
        <v>39310.3233820378</v>
      </c>
      <c r="K11" s="12" t="n">
        <f aca="false">J10*Supuestos!$G$10</f>
        <v>42002.2634620127</v>
      </c>
      <c r="L11" s="12" t="n">
        <f aca="false">K10*Supuestos!$G$10</f>
        <v>41840.389466747</v>
      </c>
      <c r="M11" s="12" t="n">
        <f aca="false">L10*Supuestos!$G$10</f>
        <v>40043.4870439805</v>
      </c>
    </row>
    <row r="12" customFormat="false" ht="15" hidden="false" customHeight="false" outlineLevel="0" collapsed="false">
      <c r="A12" s="5" t="s">
        <v>41</v>
      </c>
      <c r="B12" s="12" t="n">
        <f aca="false">Supuestos!B12</f>
        <v>35000</v>
      </c>
      <c r="C12" s="12" t="n">
        <f aca="false">B11*Supuestos!$F$11</f>
        <v>37754.7676168351</v>
      </c>
      <c r="D12" s="12" t="n">
        <f aca="false">C11*Supuestos!$F$11</f>
        <v>40531.5100652892</v>
      </c>
      <c r="E12" s="12" t="n">
        <f aca="false">D11*Supuestos!$F$11</f>
        <v>42329.1313842033</v>
      </c>
      <c r="F12" s="12" t="n">
        <f aca="false">E11*Supuestos!$F$11</f>
        <v>41201.7611758115</v>
      </c>
      <c r="H12" s="5" t="s">
        <v>41</v>
      </c>
      <c r="I12" s="12" t="n">
        <f aca="false">Supuestos!C12</f>
        <v>32900</v>
      </c>
      <c r="J12" s="12" t="n">
        <f aca="false">I11*Supuestos!$G$11</f>
        <v>35650.8791490898</v>
      </c>
      <c r="K12" s="12" t="n">
        <f aca="false">J11*Supuestos!$G$11</f>
        <v>38821.2628311542</v>
      </c>
      <c r="L12" s="12" t="n">
        <f aca="false">K11*Supuestos!$G$11</f>
        <v>41479.7124285996</v>
      </c>
      <c r="M12" s="12" t="n">
        <f aca="false">L11*Supuestos!$G$11</f>
        <v>41319.852311076</v>
      </c>
    </row>
    <row r="13" customFormat="false" ht="15" hidden="false" customHeight="false" outlineLevel="0" collapsed="false">
      <c r="A13" s="5" t="s">
        <v>42</v>
      </c>
      <c r="B13" s="12" t="n">
        <f aca="false">Supuestos!B13</f>
        <v>32000</v>
      </c>
      <c r="C13" s="12" t="n">
        <f aca="false">B12*Supuestos!$F$12</f>
        <v>34680.3448603707</v>
      </c>
      <c r="D13" s="12" t="n">
        <f aca="false">C12*Supuestos!$F$12</f>
        <v>37409.9531735713</v>
      </c>
      <c r="E13" s="12" t="n">
        <f aca="false">D12*Supuestos!$F$12</f>
        <v>40161.3356221661</v>
      </c>
      <c r="F13" s="12" t="n">
        <f aca="false">E12*Supuestos!$F$12</f>
        <v>41942.5392584031</v>
      </c>
      <c r="H13" s="5" t="s">
        <v>42</v>
      </c>
      <c r="I13" s="12" t="n">
        <f aca="false">Supuestos!C13</f>
        <v>30080</v>
      </c>
      <c r="J13" s="12" t="n">
        <f aca="false">I12*Supuestos!$G$12</f>
        <v>32392.8691108909</v>
      </c>
      <c r="K13" s="12" t="n">
        <f aca="false">J12*Supuestos!$G$12</f>
        <v>35101.3453484697</v>
      </c>
      <c r="L13" s="12" t="n">
        <f aca="false">K12*Supuestos!$G$12</f>
        <v>38222.8597449566</v>
      </c>
      <c r="M13" s="12" t="n">
        <f aca="false">L12*Supuestos!$G$12</f>
        <v>40840.3311689064</v>
      </c>
    </row>
    <row r="14" customFormat="false" ht="15" hidden="false" customHeight="false" outlineLevel="0" collapsed="false">
      <c r="A14" s="5" t="s">
        <v>43</v>
      </c>
      <c r="B14" s="12" t="n">
        <f aca="false">Supuestos!B14</f>
        <v>30000</v>
      </c>
      <c r="C14" s="12" t="n">
        <f aca="false">B13*Supuestos!$F$13</f>
        <v>31556.7639545149</v>
      </c>
      <c r="D14" s="12" t="n">
        <f aca="false">C13*Supuestos!$F$13</f>
        <v>34199.9830193716</v>
      </c>
      <c r="E14" s="12" t="n">
        <f aca="false">D13*Supuestos!$F$13</f>
        <v>36891.7831827452</v>
      </c>
      <c r="F14" s="12" t="n">
        <f aca="false">E13*Supuestos!$F$13</f>
        <v>39605.0558852109</v>
      </c>
      <c r="H14" s="5" t="s">
        <v>43</v>
      </c>
      <c r="I14" s="12" t="n">
        <f aca="false">Supuestos!C14</f>
        <v>27900</v>
      </c>
      <c r="J14" s="12" t="n">
        <f aca="false">I13*Supuestos!$G$13</f>
        <v>29439.9365653629</v>
      </c>
      <c r="K14" s="12" t="n">
        <f aca="false">J13*Supuestos!$G$13</f>
        <v>31703.5908176441</v>
      </c>
      <c r="L14" s="12" t="n">
        <f aca="false">K13*Supuestos!$G$13</f>
        <v>34354.4341894231</v>
      </c>
      <c r="M14" s="12" t="n">
        <f aca="false">L13*Supuestos!$G$13</f>
        <v>37409.5268031345</v>
      </c>
    </row>
    <row r="15" customFormat="false" ht="15" hidden="false" customHeight="false" outlineLevel="0" collapsed="false">
      <c r="A15" s="5" t="s">
        <v>44</v>
      </c>
      <c r="B15" s="12" t="n">
        <f aca="false">Supuestos!B15</f>
        <v>28000</v>
      </c>
      <c r="C15" s="12" t="n">
        <f aca="false">B14*Supuestos!$F$14</f>
        <v>29362.2437219349</v>
      </c>
      <c r="D15" s="12" t="n">
        <f aca="false">C14*Supuestos!$F$14</f>
        <v>30885.9131436013</v>
      </c>
      <c r="E15" s="12" t="n">
        <f aca="false">D14*Supuestos!$F$14</f>
        <v>33472.9412233609</v>
      </c>
      <c r="F15" s="12" t="n">
        <f aca="false">E14*Supuestos!$F$14</f>
        <v>36107.5176382848</v>
      </c>
      <c r="H15" s="5" t="s">
        <v>44</v>
      </c>
      <c r="I15" s="12" t="n">
        <f aca="false">Supuestos!C15</f>
        <v>25760</v>
      </c>
      <c r="J15" s="12" t="n">
        <f aca="false">I14*Supuestos!$G$14</f>
        <v>27034.6715274042</v>
      </c>
      <c r="K15" s="12" t="n">
        <f aca="false">J14*Supuestos!$G$14</f>
        <v>28526.8464097564</v>
      </c>
      <c r="L15" s="12" t="n">
        <f aca="false">K14*Supuestos!$G$14</f>
        <v>30720.2926162808</v>
      </c>
      <c r="M15" s="12" t="n">
        <f aca="false">L14*Supuestos!$G$14</f>
        <v>33288.9191333648</v>
      </c>
    </row>
    <row r="16" customFormat="false" ht="15" hidden="false" customHeight="false" outlineLevel="0" collapsed="false">
      <c r="A16" s="5" t="s">
        <v>45</v>
      </c>
      <c r="B16" s="12" t="n">
        <f aca="false">Supuestos!B16</f>
        <v>25000</v>
      </c>
      <c r="C16" s="12" t="n">
        <f aca="false">B15*Supuestos!$F$15</f>
        <v>27093.1358631809</v>
      </c>
      <c r="D16" s="12" t="n">
        <f aca="false">C15*Supuestos!$F$15</f>
        <v>28411.2592287934</v>
      </c>
      <c r="E16" s="12" t="n">
        <f aca="false">D15*Supuestos!$F$15</f>
        <v>29885.5800377855</v>
      </c>
      <c r="F16" s="12" t="n">
        <f aca="false">E15*Supuestos!$F$15</f>
        <v>32388.8194394566</v>
      </c>
      <c r="H16" s="5" t="s">
        <v>45</v>
      </c>
      <c r="I16" s="12" t="n">
        <f aca="false">Supuestos!C16</f>
        <v>22750</v>
      </c>
      <c r="J16" s="12" t="n">
        <f aca="false">I15*Supuestos!$G$15</f>
        <v>24586.0164652857</v>
      </c>
      <c r="K16" s="12" t="n">
        <f aca="false">J15*Supuestos!$G$15</f>
        <v>25802.5962463645</v>
      </c>
      <c r="L16" s="12" t="n">
        <f aca="false">K15*Supuestos!$G$15</f>
        <v>27226.7669073349</v>
      </c>
      <c r="M16" s="12" t="n">
        <f aca="false">L15*Supuestos!$G$15</f>
        <v>29320.2492267964</v>
      </c>
    </row>
    <row r="17" customFormat="false" ht="15" hidden="false" customHeight="false" outlineLevel="0" collapsed="false">
      <c r="A17" s="5" t="s">
        <v>46</v>
      </c>
      <c r="B17" s="12" t="n">
        <f aca="false">Supuestos!B17</f>
        <v>21000</v>
      </c>
      <c r="C17" s="12" t="n">
        <f aca="false">B16*Supuestos!$F$16</f>
        <v>23758.9510397585</v>
      </c>
      <c r="D17" s="12" t="n">
        <f aca="false">C16*Supuestos!$F$16</f>
        <v>25748.1795394736</v>
      </c>
      <c r="E17" s="12" t="n">
        <f aca="false">D16*Supuestos!$F$16</f>
        <v>27000.8686797915</v>
      </c>
      <c r="F17" s="12" t="n">
        <f aca="false">E16*Supuestos!$F$16</f>
        <v>28402.0013165012</v>
      </c>
      <c r="H17" s="5" t="s">
        <v>46</v>
      </c>
      <c r="I17" s="12" t="n">
        <f aca="false">Supuestos!C17</f>
        <v>18690</v>
      </c>
      <c r="J17" s="12" t="n">
        <f aca="false">I16*Supuestos!$G$16</f>
        <v>21217.8699704172</v>
      </c>
      <c r="K17" s="12" t="n">
        <f aca="false">J16*Supuestos!$G$16</f>
        <v>22930.2373824601</v>
      </c>
      <c r="L17" s="12" t="n">
        <f aca="false">K16*Supuestos!$G$16</f>
        <v>24064.8849254742</v>
      </c>
      <c r="M17" s="12" t="n">
        <f aca="false">L16*Supuestos!$G$16</f>
        <v>25393.1428551512</v>
      </c>
    </row>
    <row r="18" customFormat="false" ht="15" hidden="false" customHeight="false" outlineLevel="0" collapsed="false">
      <c r="A18" s="5" t="s">
        <v>47</v>
      </c>
      <c r="B18" s="12" t="n">
        <f aca="false">Supuestos!B18</f>
        <v>16000</v>
      </c>
      <c r="C18" s="12" t="n">
        <f aca="false">B17*Supuestos!$F$17</f>
        <v>19376.1868400461</v>
      </c>
      <c r="D18" s="12" t="n">
        <f aca="false">C17*Supuestos!$F$17</f>
        <v>21921.8035461842</v>
      </c>
      <c r="E18" s="12" t="n">
        <f aca="false">D17*Supuestos!$F$17</f>
        <v>23757.2160737092</v>
      </c>
      <c r="F18" s="12" t="n">
        <f aca="false">E17*Supuestos!$F$17</f>
        <v>24913.0417325329</v>
      </c>
      <c r="H18" s="5" t="s">
        <v>47</v>
      </c>
      <c r="I18" s="12" t="n">
        <f aca="false">Supuestos!C18</f>
        <v>13920</v>
      </c>
      <c r="J18" s="12" t="n">
        <f aca="false">I17*Supuestos!$G$17</f>
        <v>16808.9351025628</v>
      </c>
      <c r="K18" s="12" t="n">
        <f aca="false">J17*Supuestos!$G$17</f>
        <v>19082.3862679165</v>
      </c>
      <c r="L18" s="12" t="n">
        <f aca="false">K17*Supuestos!$G$17</f>
        <v>20622.4115595576</v>
      </c>
      <c r="M18" s="12" t="n">
        <f aca="false">L17*Supuestos!$G$17</f>
        <v>21642.8619027789</v>
      </c>
    </row>
    <row r="19" customFormat="false" ht="15" hidden="false" customHeight="false" outlineLevel="0" collapsed="false">
      <c r="A19" s="5" t="s">
        <v>48</v>
      </c>
      <c r="B19" s="12" t="n">
        <f aca="false">Supuestos!B19</f>
        <v>12000</v>
      </c>
      <c r="C19" s="12" t="n">
        <f aca="false">B18*Supuestos!$F$18</f>
        <v>14041.5694651411</v>
      </c>
      <c r="D19" s="12" t="n">
        <f aca="false">C18*Supuestos!$F$18</f>
        <v>17004.5045927538</v>
      </c>
      <c r="E19" s="12" t="n">
        <f aca="false">D18*Supuestos!$F$18</f>
        <v>19238.5329559327</v>
      </c>
      <c r="F19" s="12" t="n">
        <f aca="false">E18*Supuestos!$F$18</f>
        <v>20849.2874873347</v>
      </c>
      <c r="H19" s="5" t="s">
        <v>48</v>
      </c>
      <c r="I19" s="12" t="n">
        <f aca="false">Supuestos!C19</f>
        <v>10080</v>
      </c>
      <c r="J19" s="12" t="n">
        <f aca="false">I18*Supuestos!$G$18</f>
        <v>11798.4830029605</v>
      </c>
      <c r="K19" s="12" t="n">
        <f aca="false">J18*Supuestos!$G$18</f>
        <v>14247.121774817</v>
      </c>
      <c r="L19" s="12" t="n">
        <f aca="false">K18*Supuestos!$G$18</f>
        <v>16174.0811808864</v>
      </c>
      <c r="M19" s="12" t="n">
        <f aca="false">L18*Supuestos!$G$18</f>
        <v>17479.3945593029</v>
      </c>
    </row>
    <row r="20" customFormat="false" ht="15" hidden="false" customHeight="false" outlineLevel="0" collapsed="false">
      <c r="A20" s="5" t="s">
        <v>49</v>
      </c>
      <c r="B20" s="12" t="n">
        <f aca="false">Supuestos!B20</f>
        <v>8500</v>
      </c>
      <c r="C20" s="12" t="n">
        <f aca="false">B19*Supuestos!$F$19</f>
        <v>9677.87229242075</v>
      </c>
      <c r="D20" s="12" t="n">
        <f aca="false">C19*Supuestos!$F$19</f>
        <v>11324.3763390659</v>
      </c>
      <c r="E20" s="12" t="n">
        <f aca="false">D19*Supuestos!$F$19</f>
        <v>13713.9519870461</v>
      </c>
      <c r="F20" s="12" t="n">
        <f aca="false">E19*Supuestos!$F$19</f>
        <v>15515.6720867537</v>
      </c>
      <c r="H20" s="5" t="s">
        <v>49</v>
      </c>
      <c r="I20" s="12" t="n">
        <f aca="false">Supuestos!C20</f>
        <v>6800</v>
      </c>
      <c r="J20" s="12" t="n">
        <f aca="false">I19*Supuestos!$G$19</f>
        <v>7760.08503510745</v>
      </c>
      <c r="K20" s="12" t="n">
        <f aca="false">J19*Supuestos!$G$19</f>
        <v>9083.05866946857</v>
      </c>
      <c r="L20" s="12" t="n">
        <f aca="false">K19*Supuestos!$G$19</f>
        <v>10968.1425077491</v>
      </c>
      <c r="M20" s="12" t="n">
        <f aca="false">L19*Supuestos!$G$19</f>
        <v>12451.6116397232</v>
      </c>
    </row>
    <row r="21" customFormat="false" ht="15" hidden="false" customHeight="false" outlineLevel="0" collapsed="false">
      <c r="A21" s="5" t="s">
        <v>50</v>
      </c>
      <c r="B21" s="12" t="n">
        <f aca="false">Supuestos!B21</f>
        <v>5500</v>
      </c>
      <c r="C21" s="12" t="n">
        <f aca="false">B20*Supuestos!$F$20</f>
        <v>5983.67133907236</v>
      </c>
      <c r="D21" s="12" t="n">
        <f aca="false">C20*Supuestos!$F$20</f>
        <v>6812.84788933654</v>
      </c>
      <c r="E21" s="12" t="n">
        <f aca="false">D20*Supuestos!$F$20</f>
        <v>7971.92307446325</v>
      </c>
      <c r="F21" s="12" t="n">
        <f aca="false">E20*Supuestos!$F$20</f>
        <v>9654.09193532968</v>
      </c>
      <c r="H21" s="5" t="s">
        <v>50</v>
      </c>
      <c r="I21" s="12" t="n">
        <f aca="false">Supuestos!C21</f>
        <v>4180</v>
      </c>
      <c r="J21" s="12" t="n">
        <f aca="false">I20*Supuestos!$G$20</f>
        <v>4510.82507069541</v>
      </c>
      <c r="K21" s="12" t="n">
        <f aca="false">J20*Supuestos!$G$20</f>
        <v>5147.70384221925</v>
      </c>
      <c r="L21" s="12" t="n">
        <f aca="false">K20*Supuestos!$G$20</f>
        <v>6025.30717129942</v>
      </c>
      <c r="M21" s="12" t="n">
        <f aca="false">L20*Supuestos!$G$20</f>
        <v>7275.79002984039</v>
      </c>
    </row>
    <row r="22" customFormat="false" ht="15" hidden="false" customHeight="false" outlineLevel="0" collapsed="false">
      <c r="A22" s="5" t="s">
        <v>51</v>
      </c>
      <c r="B22" s="12" t="n">
        <f aca="false">Supuestos!B22</f>
        <v>4500</v>
      </c>
      <c r="C22" s="12" t="n">
        <f aca="false">(B21+B22)*Supuestos!$F$21</f>
        <v>4769.23151296649</v>
      </c>
      <c r="D22" s="12" t="n">
        <f aca="false">(C21+C22)*Supuestos!$F$21</f>
        <v>5128.30831378109</v>
      </c>
      <c r="E22" s="12" t="n">
        <f aca="false">(D21+D22)*Supuestos!$F$21</f>
        <v>5695.01384651638</v>
      </c>
      <c r="F22" s="12" t="n">
        <f aca="false">(E21+E22)*Supuestos!$F$21</f>
        <v>6518.07862492612</v>
      </c>
      <c r="H22" s="5" t="s">
        <v>51</v>
      </c>
      <c r="I22" s="12" t="n">
        <f aca="false">Supuestos!C22</f>
        <v>3150</v>
      </c>
      <c r="J22" s="12" t="n">
        <f aca="false">(I21+I22)*Supuestos!$G$21</f>
        <v>3241.37982415826</v>
      </c>
      <c r="K22" s="12" t="n">
        <f aca="false">(J21+J22)*Supuestos!$G$21</f>
        <v>3428.08192891126</v>
      </c>
      <c r="L22" s="12" t="n">
        <f aca="false">(K21+K22)*Supuestos!$G$21</f>
        <v>3792.27543995169</v>
      </c>
      <c r="M22" s="12" t="n">
        <f aca="false">(L21+L22)*Supuestos!$G$21</f>
        <v>4341.40712116184</v>
      </c>
    </row>
    <row r="23" customFormat="false" ht="15" hidden="false" customHeight="false" outlineLevel="0" collapsed="false">
      <c r="A23" s="2" t="s">
        <v>52</v>
      </c>
      <c r="B23" s="19" t="n">
        <f aca="false">SUM(B5:B22)</f>
        <v>498500</v>
      </c>
      <c r="C23" s="19" t="n">
        <f aca="false">SUM(C5:C22)</f>
        <v>518299.765537785</v>
      </c>
      <c r="D23" s="19" t="n">
        <f aca="false">SUM(D5:D22)</f>
        <v>536248.499580294</v>
      </c>
      <c r="E23" s="19" t="n">
        <f aca="false">SUM(E5:E22)</f>
        <v>551266.839062462</v>
      </c>
      <c r="F23" s="19" t="n">
        <f aca="false">SUM(F5:F22)</f>
        <v>562814.76612526</v>
      </c>
      <c r="H23" s="2" t="s">
        <v>52</v>
      </c>
      <c r="I23" s="19" t="n">
        <f aca="false">SUM(I5:I22)</f>
        <v>480790</v>
      </c>
      <c r="J23" s="19" t="n">
        <f aca="false">SUM(J5:J22)</f>
        <v>500954.146483553</v>
      </c>
      <c r="K23" s="19" t="n">
        <f aca="false">SUM(K5:K22)</f>
        <v>519278.608924852</v>
      </c>
      <c r="L23" s="19" t="n">
        <f aca="false">SUM(L5:L22)</f>
        <v>534708.288290807</v>
      </c>
      <c r="M23" s="19" t="n">
        <f aca="false">SUM(M5:M22)</f>
        <v>546771.602186539</v>
      </c>
    </row>
    <row r="25" customFormat="false" ht="15" hidden="false" customHeight="false" outlineLevel="0" collapsed="false">
      <c r="A25" s="17" t="s">
        <v>63</v>
      </c>
    </row>
    <row r="26" customFormat="false" ht="15" hidden="false" customHeight="false" outlineLevel="0" collapsed="false">
      <c r="A26" s="10" t="s">
        <v>27</v>
      </c>
      <c r="B26" s="10" t="str">
        <f aca="false">TEXT(B4-5,"0")&amp;"-"&amp;TEXT(B4,"0")</f>
        <v>2015-2020</v>
      </c>
      <c r="C26" s="10" t="str">
        <f aca="false">TEXT(C4-5,"0")&amp;"-"&amp;TEXT(C4,"0")</f>
        <v>2020-2025</v>
      </c>
      <c r="D26" s="10" t="str">
        <f aca="false">TEXT(D4-5,"0")&amp;"-"&amp;TEXT(D4,"0")</f>
        <v>2025-2030</v>
      </c>
      <c r="E26" s="10" t="str">
        <f aca="false">TEXT(E4-5,"0")&amp;"-"&amp;TEXT(E4,"0")</f>
        <v>2030-2035</v>
      </c>
    </row>
    <row r="27" customFormat="false" ht="15" hidden="false" customHeight="false" outlineLevel="0" collapsed="false">
      <c r="A27" s="5" t="s">
        <v>37</v>
      </c>
      <c r="B27" s="12" t="n">
        <f aca="false">5*Supuestos!$B$28*(B8+C8)/2</f>
        <v>13311.2853147126</v>
      </c>
      <c r="C27" s="12" t="n">
        <f aca="false">5*Supuestos!$B$28*(C8+D8)/2</f>
        <v>12803.2223310087</v>
      </c>
      <c r="D27" s="12" t="n">
        <f aca="false">5*Supuestos!$B$28*(D8+E8)/2</f>
        <v>12460.1761125145</v>
      </c>
      <c r="E27" s="12" t="n">
        <f aca="false">5*Supuestos!$B$28*(E8+F8)/2</f>
        <v>12282.9574094616</v>
      </c>
    </row>
    <row r="28" customFormat="false" ht="15" hidden="false" customHeight="false" outlineLevel="0" collapsed="false">
      <c r="A28" s="5" t="s">
        <v>38</v>
      </c>
      <c r="B28" s="12" t="n">
        <f aca="false">5*Supuestos!$B$29*(B9+C9)/2</f>
        <v>22274.3750920206</v>
      </c>
      <c r="C28" s="12" t="n">
        <f aca="false">5*Supuestos!$B$29*(C9+D9)/2</f>
        <v>21428.487775384</v>
      </c>
      <c r="D28" s="12" t="n">
        <f aca="false">5*Supuestos!$B$29*(D9+E9)/2</f>
        <v>20610.608721782</v>
      </c>
      <c r="E28" s="12" t="n">
        <f aca="false">5*Supuestos!$B$29*(E9+F9)/2</f>
        <v>20058.3734172566</v>
      </c>
    </row>
    <row r="29" customFormat="false" ht="15" hidden="false" customHeight="false" outlineLevel="0" collapsed="false">
      <c r="A29" s="5" t="s">
        <v>39</v>
      </c>
      <c r="B29" s="12" t="n">
        <f aca="false">5*Supuestos!$B$30*(B10+C10)/2</f>
        <v>19906.869860381</v>
      </c>
      <c r="C29" s="12" t="n">
        <f aca="false">5*Supuestos!$B$30*(C10+D10)/2</f>
        <v>20067.8944602095</v>
      </c>
      <c r="D29" s="12" t="n">
        <f aca="false">5*Supuestos!$B$30*(D10+E10)/2</f>
        <v>19305.8000209552</v>
      </c>
      <c r="E29" s="12" t="n">
        <f aca="false">5*Supuestos!$B$30*(E10+F10)/2</f>
        <v>18568.9393700461</v>
      </c>
    </row>
    <row r="30" customFormat="false" ht="15" hidden="false" customHeight="false" outlineLevel="0" collapsed="false">
      <c r="A30" s="5" t="s">
        <v>40</v>
      </c>
      <c r="B30" s="12" t="n">
        <f aca="false">5*Supuestos!$B$31*(B11+C11)/2</f>
        <v>13789.0862385811</v>
      </c>
      <c r="C30" s="12" t="n">
        <f aca="false">5*Supuestos!$B$31*(C11+D11)/2</f>
        <v>14594.7995556837</v>
      </c>
      <c r="D30" s="12" t="n">
        <f aca="false">5*Supuestos!$B$31*(D11+E11)/2</f>
        <v>14712.8553713149</v>
      </c>
      <c r="E30" s="12" t="n">
        <f aca="false">5*Supuestos!$B$31*(E11+F11)/2</f>
        <v>14154.1228502593</v>
      </c>
    </row>
    <row r="31" customFormat="false" ht="15" hidden="false" customHeight="false" outlineLevel="0" collapsed="false">
      <c r="A31" s="5" t="s">
        <v>41</v>
      </c>
      <c r="B31" s="12" t="n">
        <f aca="false">5*Supuestos!$B$32*(B12+C12)/2</f>
        <v>7275.47676168351</v>
      </c>
      <c r="C31" s="12" t="n">
        <f aca="false">5*Supuestos!$B$32*(C12+D12)/2</f>
        <v>7828.62776821243</v>
      </c>
      <c r="D31" s="12" t="n">
        <f aca="false">5*Supuestos!$B$32*(D12+E12)/2</f>
        <v>8286.06414494925</v>
      </c>
      <c r="E31" s="12" t="n">
        <f aca="false">5*Supuestos!$B$32*(E12+F12)/2</f>
        <v>8353.08925600148</v>
      </c>
    </row>
    <row r="32" customFormat="false" ht="15" hidden="false" customHeight="false" outlineLevel="0" collapsed="false">
      <c r="A32" s="5" t="s">
        <v>42</v>
      </c>
      <c r="B32" s="12" t="n">
        <f aca="false">5*Supuestos!$B$33*(B13+C13)/2</f>
        <v>2000.41034581112</v>
      </c>
      <c r="C32" s="12" t="n">
        <f aca="false">5*Supuestos!$B$33*(C13+D13)/2</f>
        <v>2162.70894101826</v>
      </c>
      <c r="D32" s="12" t="n">
        <f aca="false">5*Supuestos!$B$33*(D13+E13)/2</f>
        <v>2327.13866387212</v>
      </c>
      <c r="E32" s="12" t="n">
        <f aca="false">5*Supuestos!$B$33*(E13+F13)/2</f>
        <v>2463.11624641708</v>
      </c>
    </row>
    <row r="33" customFormat="false" ht="15" hidden="false" customHeight="false" outlineLevel="0" collapsed="false">
      <c r="A33" s="5" t="s">
        <v>43</v>
      </c>
      <c r="B33" s="12" t="n">
        <f aca="false">5*Supuestos!$B$34*(B14+C14)/2</f>
        <v>307.783819772575</v>
      </c>
      <c r="C33" s="12" t="n">
        <f aca="false">5*Supuestos!$B$34*(C14+D14)/2</f>
        <v>328.783734869433</v>
      </c>
      <c r="D33" s="12" t="n">
        <f aca="false">5*Supuestos!$B$34*(D14+E14)/2</f>
        <v>355.458831010584</v>
      </c>
      <c r="E33" s="12" t="n">
        <f aca="false">5*Supuestos!$B$34*(E14+F14)/2</f>
        <v>382.48419533978</v>
      </c>
    </row>
    <row r="34" customFormat="false" ht="15" hidden="false" customHeight="false" outlineLevel="0" collapsed="false">
      <c r="A34" s="2" t="s">
        <v>64</v>
      </c>
      <c r="B34" s="19" t="n">
        <f aca="false">SUM(B27:B33)</f>
        <v>78865.2874329625</v>
      </c>
      <c r="C34" s="19" t="n">
        <f aca="false">SUM(C27:C33)</f>
        <v>79214.5245663861</v>
      </c>
      <c r="D34" s="19" t="n">
        <f aca="false">SUM(D27:D33)</f>
        <v>78058.1018663986</v>
      </c>
      <c r="E34" s="19" t="n">
        <f aca="false">SUM(E27:E33)</f>
        <v>76263.0827447818</v>
      </c>
    </row>
    <row r="35" customFormat="false" ht="15" hidden="false" customHeight="false" outlineLevel="0" collapsed="false">
      <c r="A35" s="4" t="s">
        <v>65</v>
      </c>
      <c r="B35" s="12" t="n">
        <f aca="false">B34*Supuestos!$B$37</f>
        <v>38470.8719185183</v>
      </c>
      <c r="C35" s="12" t="n">
        <f aca="false">C34*Supuestos!$B$37</f>
        <v>38641.2314957981</v>
      </c>
      <c r="D35" s="12" t="n">
        <f aca="false">D34*Supuestos!$B$37</f>
        <v>38077.1228616579</v>
      </c>
      <c r="E35" s="12" t="n">
        <f aca="false">E34*Supuestos!$B$37</f>
        <v>37201.5037779424</v>
      </c>
    </row>
    <row r="36" customFormat="false" ht="15" hidden="false" customHeight="false" outlineLevel="0" collapsed="false">
      <c r="A36" s="4" t="s">
        <v>66</v>
      </c>
      <c r="B36" s="12" t="n">
        <f aca="false">B34-B35</f>
        <v>40394.4155144442</v>
      </c>
      <c r="C36" s="12" t="n">
        <f aca="false">C34-C35</f>
        <v>40573.293070588</v>
      </c>
      <c r="D36" s="12" t="n">
        <f aca="false">D34-D35</f>
        <v>39980.9790047408</v>
      </c>
      <c r="E36" s="12" t="n">
        <f aca="false">E34-E35</f>
        <v>39061.5789668395</v>
      </c>
    </row>
    <row r="38" customFormat="false" ht="15" hidden="false" customHeight="false" outlineLevel="0" collapsed="false">
      <c r="A38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10" t="s">
        <v>69</v>
      </c>
      <c r="B3" s="18" t="n">
        <f aca="false">Proyeccion!B4</f>
        <v>2020</v>
      </c>
      <c r="C3" s="18" t="n">
        <f aca="false">Proyeccion!C4</f>
        <v>2025</v>
      </c>
      <c r="D3" s="18" t="n">
        <f aca="false">Proyeccion!D4</f>
        <v>2030</v>
      </c>
      <c r="E3" s="18" t="n">
        <f aca="false">Proyeccion!E4</f>
        <v>2035</v>
      </c>
      <c r="F3" s="18" t="n">
        <f aca="false">Proyeccion!F4</f>
        <v>2040</v>
      </c>
    </row>
    <row r="4" customFormat="false" ht="15" hidden="false" customHeight="false" outlineLevel="0" collapsed="false">
      <c r="A4" s="4" t="s">
        <v>70</v>
      </c>
      <c r="B4" s="19" t="n">
        <f aca="false">Proyeccion!B23+Proyeccion!I23</f>
        <v>979290</v>
      </c>
      <c r="C4" s="19" t="n">
        <f aca="false">Proyeccion!C23+Proyeccion!J23</f>
        <v>1019253.91202134</v>
      </c>
      <c r="D4" s="19" t="n">
        <f aca="false">Proyeccion!D23+Proyeccion!K23</f>
        <v>1055527.10850515</v>
      </c>
      <c r="E4" s="19" t="n">
        <f aca="false">Proyeccion!E23+Proyeccion!L23</f>
        <v>1085975.12735327</v>
      </c>
      <c r="F4" s="19" t="n">
        <f aca="false">Proyeccion!F23+Proyeccion!M23</f>
        <v>1109586.3683118</v>
      </c>
    </row>
    <row r="5" customFormat="false" ht="15" hidden="false" customHeight="false" outlineLevel="0" collapsed="false">
      <c r="A5" s="4" t="s">
        <v>71</v>
      </c>
      <c r="B5" s="12" t="n">
        <f aca="false">Proyeccion!B23</f>
        <v>498500</v>
      </c>
      <c r="C5" s="12" t="n">
        <f aca="false">Proyeccion!C23</f>
        <v>518299.765537785</v>
      </c>
      <c r="D5" s="12" t="n">
        <f aca="false">Proyeccion!D23</f>
        <v>536248.499580294</v>
      </c>
      <c r="E5" s="12" t="n">
        <f aca="false">Proyeccion!E23</f>
        <v>551266.839062462</v>
      </c>
      <c r="F5" s="12" t="n">
        <f aca="false">Proyeccion!F23</f>
        <v>562814.76612526</v>
      </c>
    </row>
    <row r="6" customFormat="false" ht="15" hidden="false" customHeight="false" outlineLevel="0" collapsed="false">
      <c r="A6" s="4" t="s">
        <v>72</v>
      </c>
      <c r="B6" s="12" t="n">
        <f aca="false">Proyeccion!I23</f>
        <v>480790</v>
      </c>
      <c r="C6" s="12" t="n">
        <f aca="false">Proyeccion!J23</f>
        <v>500954.146483553</v>
      </c>
      <c r="D6" s="12" t="n">
        <f aca="false">Proyeccion!K23</f>
        <v>519278.608924852</v>
      </c>
      <c r="E6" s="12" t="n">
        <f aca="false">Proyeccion!L23</f>
        <v>534708.288290807</v>
      </c>
      <c r="F6" s="12" t="n">
        <f aca="false">Proyeccion!M23</f>
        <v>546771.602186539</v>
      </c>
    </row>
    <row r="7" customFormat="false" ht="15" hidden="false" customHeight="false" outlineLevel="0" collapsed="false">
      <c r="A7" s="4" t="s">
        <v>73</v>
      </c>
      <c r="B7" s="20" t="n">
        <f aca="false">B6/B5*100</f>
        <v>96.4473420260782</v>
      </c>
      <c r="C7" s="20" t="n">
        <f aca="false">C6/C5*100</f>
        <v>96.6533615857931</v>
      </c>
      <c r="D7" s="20" t="n">
        <f aca="false">D6/D5*100</f>
        <v>96.8354427716396</v>
      </c>
      <c r="E7" s="20" t="n">
        <f aca="false">E6/E5*100</f>
        <v>96.9962730209175</v>
      </c>
      <c r="F7" s="20" t="n">
        <f aca="false">F6/F5*100</f>
        <v>97.1494770741053</v>
      </c>
    </row>
    <row r="8" customFormat="false" ht="15" hidden="false" customHeight="false" outlineLevel="0" collapsed="false">
      <c r="A8" s="4" t="s">
        <v>74</v>
      </c>
      <c r="B8" s="12" t="n">
        <f aca="false">SUM(Proyeccion!B5:B7)+SUM(Proyeccion!I5:I7)</f>
        <v>239450</v>
      </c>
      <c r="C8" s="12" t="n">
        <f aca="false">SUM(Proyeccion!C5:C7)+SUM(Proyeccion!J5:J7)</f>
        <v>235333.527898917</v>
      </c>
      <c r="D8" s="12" t="n">
        <f aca="false">SUM(Proyeccion!D5:D7)+SUM(Proyeccion!K5:K7)</f>
        <v>233321.403734372</v>
      </c>
      <c r="E8" s="12" t="n">
        <f aca="false">SUM(Proyeccion!E5:E7)+SUM(Proyeccion!L5:L7)</f>
        <v>232379.722927543</v>
      </c>
      <c r="F8" s="12" t="n">
        <f aca="false">SUM(Proyeccion!F5:F7)+SUM(Proyeccion!M5:M7)</f>
        <v>229815.39227022</v>
      </c>
    </row>
    <row r="9" customFormat="false" ht="15" hidden="false" customHeight="false" outlineLevel="0" collapsed="false">
      <c r="A9" s="4" t="s">
        <v>75</v>
      </c>
      <c r="B9" s="12" t="n">
        <f aca="false">SUM(Proyeccion!B8:B17)+SUM(Proyeccion!I8:I17)</f>
        <v>655210</v>
      </c>
      <c r="C9" s="12" t="n">
        <f aca="false">SUM(Proyeccion!C8:C17)+SUM(Proyeccion!J8:J17)</f>
        <v>685952.14463729</v>
      </c>
      <c r="D9" s="12" t="n">
        <f aca="false">SUM(Proyeccion!D8:D17)+SUM(Proyeccion!K8:K17)</f>
        <v>709025.51160632</v>
      </c>
      <c r="E9" s="12" t="n">
        <f aca="false">SUM(Proyeccion!E8:E17)+SUM(Proyeccion!L8:L17)</f>
        <v>725636.548628614</v>
      </c>
      <c r="F9" s="12" t="n">
        <f aca="false">SUM(Proyeccion!F8:F17)+SUM(Proyeccion!M8:M17)</f>
        <v>739129.738921894</v>
      </c>
    </row>
    <row r="10" customFormat="false" ht="15" hidden="false" customHeight="false" outlineLevel="0" collapsed="false">
      <c r="A10" s="4" t="s">
        <v>76</v>
      </c>
      <c r="B10" s="12" t="n">
        <f aca="false">SUM(Proyeccion!B18:B22)+SUM(Proyeccion!I18:I22)</f>
        <v>84630</v>
      </c>
      <c r="C10" s="12" t="n">
        <f aca="false">SUM(Proyeccion!C18:C22)+SUM(Proyeccion!J18:J22)</f>
        <v>97968.2394851312</v>
      </c>
      <c r="D10" s="12" t="n">
        <f aca="false">SUM(Proyeccion!D18:D22)+SUM(Proyeccion!K18:K22)</f>
        <v>113180.193164454</v>
      </c>
      <c r="E10" s="12" t="n">
        <f aca="false">SUM(Proyeccion!E18:E22)+SUM(Proyeccion!L18:L22)</f>
        <v>127958.855797112</v>
      </c>
      <c r="F10" s="12" t="n">
        <f aca="false">SUM(Proyeccion!F18:F22)+SUM(Proyeccion!M18:M22)</f>
        <v>140641.237119684</v>
      </c>
    </row>
    <row r="11" customFormat="false" ht="15" hidden="false" customHeight="false" outlineLevel="0" collapsed="false">
      <c r="A11" s="4" t="s">
        <v>77</v>
      </c>
      <c r="B11" s="20" t="n">
        <f aca="false">(B8+B10)/B9*100</f>
        <v>49.4620045481601</v>
      </c>
      <c r="C11" s="20" t="n">
        <f aca="false">(C8+C10)/C9*100</f>
        <v>48.5896530814533</v>
      </c>
      <c r="D11" s="20" t="n">
        <f aca="false">(D8+D10)/D9*100</f>
        <v>48.8701169741855</v>
      </c>
      <c r="E11" s="20" t="n">
        <f aca="false">(E8+E10)/E9*100</f>
        <v>49.6582730577258</v>
      </c>
      <c r="F11" s="20" t="n">
        <f aca="false">(F8+F10)/F9*100</f>
        <v>50.1206499863283</v>
      </c>
    </row>
    <row r="12" customFormat="false" ht="15" hidden="false" customHeight="false" outlineLevel="0" collapsed="false">
      <c r="A12" s="4" t="s">
        <v>78</v>
      </c>
      <c r="B12" s="20" t="n">
        <f aca="false">B10/B8*100</f>
        <v>35.343495510545</v>
      </c>
      <c r="C12" s="20" t="n">
        <f aca="false">C10/C8*100</f>
        <v>41.6295291027174</v>
      </c>
      <c r="D12" s="20" t="n">
        <f aca="false">D10/D8*100</f>
        <v>48.5082771460204</v>
      </c>
      <c r="E12" s="20" t="n">
        <f aca="false">E10/E8*100</f>
        <v>55.0645530449359</v>
      </c>
      <c r="F12" s="20" t="n">
        <f aca="false">F10/F8*100</f>
        <v>61.1974836543221</v>
      </c>
    </row>
    <row r="13" customFormat="false" ht="15" hidden="false" customHeight="false" outlineLevel="0" collapsed="false">
      <c r="A13" s="4" t="s">
        <v>79</v>
      </c>
      <c r="B13" s="21" t="s">
        <v>80</v>
      </c>
      <c r="C13" s="21" t="n">
        <f aca="false">LN(C4/B4)/5</f>
        <v>0.00799967210601081</v>
      </c>
      <c r="D13" s="21" t="n">
        <f aca="false">LN(D4/C4)/5</f>
        <v>0.00699387404456689</v>
      </c>
      <c r="E13" s="21" t="n">
        <f aca="false">LN(E4/D4)/5</f>
        <v>0.00568760943799019</v>
      </c>
      <c r="F13" s="21" t="n">
        <f aca="false">LN(F4/E4)/5</f>
        <v>0.00430179729117749</v>
      </c>
    </row>
    <row r="16" customFormat="false" ht="15" hidden="false" customHeight="false" outlineLevel="0" collapsed="false">
      <c r="A16" s="2" t="s">
        <v>81</v>
      </c>
    </row>
    <row r="17" customFormat="false" ht="26.85" hidden="false" customHeight="false" outlineLevel="0" collapsed="false">
      <c r="A17" s="10" t="s">
        <v>27</v>
      </c>
      <c r="B17" s="10" t="s">
        <v>82</v>
      </c>
      <c r="C17" s="10" t="s">
        <v>83</v>
      </c>
      <c r="D17" s="10" t="s">
        <v>84</v>
      </c>
      <c r="E17" s="10" t="s">
        <v>85</v>
      </c>
    </row>
    <row r="18" customFormat="false" ht="15" hidden="false" customHeight="false" outlineLevel="0" collapsed="false">
      <c r="A18" s="5" t="s">
        <v>34</v>
      </c>
      <c r="B18" s="22" t="n">
        <f aca="false">-Proyeccion!I5/$B$4</f>
        <v>-0.0407438041846644</v>
      </c>
      <c r="C18" s="23" t="n">
        <f aca="false">Proyeccion!B5/$B$4</f>
        <v>0.0388036230330137</v>
      </c>
      <c r="D18" s="22" t="n">
        <f aca="false">-Proyeccion!M5/$F$4</f>
        <v>-0.0346648665449228</v>
      </c>
      <c r="E18" s="23" t="n">
        <f aca="false">Proyeccion!F5/$F$4</f>
        <v>0.0330980172519052</v>
      </c>
    </row>
    <row r="19" customFormat="false" ht="15" hidden="false" customHeight="false" outlineLevel="0" collapsed="false">
      <c r="A19" s="5" t="s">
        <v>35</v>
      </c>
      <c r="B19" s="22" t="n">
        <f aca="false">-Proyeccion!I6/$B$4</f>
        <v>-0.041816009557945</v>
      </c>
      <c r="C19" s="23" t="n">
        <f aca="false">Proyeccion!B6/$B$4</f>
        <v>0.0398247710075667</v>
      </c>
      <c r="D19" s="22" t="n">
        <f aca="false">-Proyeccion!M6/$F$4</f>
        <v>-0.0353992751770803</v>
      </c>
      <c r="E19" s="23" t="n">
        <f aca="false">Proyeccion!F6/$F$4</f>
        <v>0.0338125161554975</v>
      </c>
    </row>
    <row r="20" customFormat="false" ht="15" hidden="false" customHeight="false" outlineLevel="0" collapsed="false">
      <c r="A20" s="5" t="s">
        <v>36</v>
      </c>
      <c r="B20" s="22" t="n">
        <f aca="false">-Proyeccion!I7/$B$4</f>
        <v>-0.0424797557414045</v>
      </c>
      <c r="C20" s="23" t="n">
        <f aca="false">Proyeccion!B7/$B$4</f>
        <v>0.0408459189821197</v>
      </c>
      <c r="D20" s="22" t="n">
        <f aca="false">-Proyeccion!M7/$F$4</f>
        <v>-0.0358689722598685</v>
      </c>
      <c r="E20" s="23" t="n">
        <f aca="false">Proyeccion!F7/$F$4</f>
        <v>0.0342744272675704</v>
      </c>
    </row>
    <row r="21" customFormat="false" ht="15" hidden="false" customHeight="false" outlineLevel="0" collapsed="false">
      <c r="A21" s="5" t="s">
        <v>37</v>
      </c>
      <c r="B21" s="22" t="n">
        <f aca="false">-Proyeccion!I8/$B$4</f>
        <v>-0.0441748613791625</v>
      </c>
      <c r="C21" s="23" t="n">
        <f aca="false">Proyeccion!B8/$B$4</f>
        <v>0.0428882149312257</v>
      </c>
      <c r="D21" s="22" t="n">
        <f aca="false">-Proyeccion!M8/$F$4</f>
        <v>-0.0355409767554542</v>
      </c>
      <c r="E21" s="23" t="n">
        <f aca="false">Proyeccion!F8/$F$4</f>
        <v>0.0340513212911368</v>
      </c>
    </row>
    <row r="22" customFormat="false" ht="15" hidden="false" customHeight="false" outlineLevel="0" collapsed="false">
      <c r="A22" s="5" t="s">
        <v>38</v>
      </c>
      <c r="B22" s="22" t="n">
        <f aca="false">-Proyeccion!I9/$B$4</f>
        <v>-0.0439093629057787</v>
      </c>
      <c r="C22" s="23" t="n">
        <f aca="false">Proyeccion!B9/$B$4</f>
        <v>0.0439093629057787</v>
      </c>
      <c r="D22" s="22" t="n">
        <f aca="false">-Proyeccion!M9/$F$4</f>
        <v>-0.0353008400122878</v>
      </c>
      <c r="E22" s="23" t="n">
        <f aca="false">Proyeccion!F9/$F$4</f>
        <v>0.0339530294008287</v>
      </c>
    </row>
    <row r="23" customFormat="false" ht="15" hidden="false" customHeight="false" outlineLevel="0" collapsed="false">
      <c r="A23" s="5" t="s">
        <v>39</v>
      </c>
      <c r="B23" s="22" t="n">
        <f aca="false">-Proyeccion!I10/$B$4</f>
        <v>-0.0406110549479725</v>
      </c>
      <c r="C23" s="23" t="n">
        <f aca="false">Proyeccion!B10/$B$4</f>
        <v>0.0418670669566727</v>
      </c>
      <c r="D23" s="22" t="n">
        <f aca="false">-Proyeccion!M10/$F$4</f>
        <v>-0.0358854219098509</v>
      </c>
      <c r="E23" s="23" t="n">
        <f aca="false">Proyeccion!F10/$F$4</f>
        <v>0.0347655921656971</v>
      </c>
    </row>
    <row r="24" customFormat="false" ht="15" hidden="false" customHeight="false" outlineLevel="0" collapsed="false">
      <c r="A24" s="5" t="s">
        <v>40</v>
      </c>
      <c r="B24" s="22" t="n">
        <f aca="false">-Proyeccion!I11/$B$4</f>
        <v>-0.036863441881363</v>
      </c>
      <c r="C24" s="23" t="n">
        <f aca="false">Proyeccion!B11/$B$4</f>
        <v>0.0388036230330137</v>
      </c>
      <c r="D24" s="22" t="n">
        <f aca="false">-Proyeccion!M11/$F$4</f>
        <v>-0.0360886616739042</v>
      </c>
      <c r="E24" s="23" t="n">
        <f aca="false">Proyeccion!F11/$F$4</f>
        <v>0.0355189284584644</v>
      </c>
    </row>
    <row r="25" customFormat="false" ht="15" hidden="false" customHeight="false" outlineLevel="0" collapsed="false">
      <c r="A25" s="5" t="s">
        <v>41</v>
      </c>
      <c r="B25" s="22" t="n">
        <f aca="false">-Proyeccion!I12/$B$4</f>
        <v>-0.0335957683627935</v>
      </c>
      <c r="C25" s="23" t="n">
        <f aca="false">Proyeccion!B12/$B$4</f>
        <v>0.0357401791093547</v>
      </c>
      <c r="D25" s="22" t="n">
        <f aca="false">-Proyeccion!M12/$F$4</f>
        <v>-0.0372389689447455</v>
      </c>
      <c r="E25" s="23" t="n">
        <f aca="false">Proyeccion!F12/$F$4</f>
        <v>0.0371325408751179</v>
      </c>
    </row>
    <row r="26" customFormat="false" ht="15" hidden="false" customHeight="false" outlineLevel="0" collapsed="false">
      <c r="A26" s="5" t="s">
        <v>42</v>
      </c>
      <c r="B26" s="22" t="n">
        <f aca="false">-Proyeccion!I13/$B$4</f>
        <v>-0.030716131074554</v>
      </c>
      <c r="C26" s="23" t="n">
        <f aca="false">Proyeccion!B13/$B$4</f>
        <v>0.0326767351856958</v>
      </c>
      <c r="D26" s="22" t="n">
        <f aca="false">-Proyeccion!M13/$F$4</f>
        <v>-0.0368068068743884</v>
      </c>
      <c r="E26" s="23" t="n">
        <f aca="false">Proyeccion!F13/$F$4</f>
        <v>0.0378001572984511</v>
      </c>
    </row>
    <row r="27" customFormat="false" ht="15" hidden="false" customHeight="false" outlineLevel="0" collapsed="false">
      <c r="A27" s="5" t="s">
        <v>43</v>
      </c>
      <c r="B27" s="22" t="n">
        <f aca="false">-Proyeccion!I14/$B$4</f>
        <v>-0.0284900284900285</v>
      </c>
      <c r="C27" s="23" t="n">
        <f aca="false">Proyeccion!B14/$B$4</f>
        <v>0.0306344392365898</v>
      </c>
      <c r="D27" s="22" t="n">
        <f aca="false">-Proyeccion!M14/$F$4</f>
        <v>-0.0337148399363017</v>
      </c>
      <c r="E27" s="23" t="n">
        <f aca="false">Proyeccion!F14/$F$4</f>
        <v>0.035693531406184</v>
      </c>
    </row>
    <row r="28" customFormat="false" ht="15" hidden="false" customHeight="false" outlineLevel="0" collapsed="false">
      <c r="A28" s="5" t="s">
        <v>44</v>
      </c>
      <c r="B28" s="22" t="n">
        <f aca="false">-Proyeccion!I15/$B$4</f>
        <v>-0.0263047718244851</v>
      </c>
      <c r="C28" s="23" t="n">
        <f aca="false">Proyeccion!B15/$B$4</f>
        <v>0.0285921432874838</v>
      </c>
      <c r="D28" s="22" t="n">
        <f aca="false">-Proyeccion!M15/$F$4</f>
        <v>-0.0300011969181028</v>
      </c>
      <c r="E28" s="23" t="n">
        <f aca="false">Proyeccion!F15/$F$4</f>
        <v>0.032541421442678</v>
      </c>
    </row>
    <row r="29" customFormat="false" ht="15" hidden="false" customHeight="false" outlineLevel="0" collapsed="false">
      <c r="A29" s="5" t="s">
        <v>45</v>
      </c>
      <c r="B29" s="22" t="n">
        <f aca="false">-Proyeccion!I16/$B$4</f>
        <v>-0.0232311164210806</v>
      </c>
      <c r="C29" s="23" t="n">
        <f aca="false">Proyeccion!B16/$B$4</f>
        <v>0.0255286993638248</v>
      </c>
      <c r="D29" s="22" t="n">
        <f aca="false">-Proyeccion!M16/$F$4</f>
        <v>-0.0264244857941129</v>
      </c>
      <c r="E29" s="23" t="n">
        <f aca="false">Proyeccion!F16/$F$4</f>
        <v>0.0291899940053654</v>
      </c>
    </row>
    <row r="30" customFormat="false" ht="15" hidden="false" customHeight="false" outlineLevel="0" collapsed="false">
      <c r="A30" s="5" t="s">
        <v>46</v>
      </c>
      <c r="B30" s="22" t="n">
        <f aca="false">-Proyeccion!I17/$B$4</f>
        <v>-0.0190852556443954</v>
      </c>
      <c r="C30" s="23" t="n">
        <f aca="false">Proyeccion!B17/$B$4</f>
        <v>0.0214441074656128</v>
      </c>
      <c r="D30" s="22" t="n">
        <f aca="false">-Proyeccion!M17/$F$4</f>
        <v>-0.0228852332547903</v>
      </c>
      <c r="E30" s="23" t="n">
        <f aca="false">Proyeccion!F17/$F$4</f>
        <v>0.0255969270420238</v>
      </c>
    </row>
    <row r="31" customFormat="false" ht="15" hidden="false" customHeight="false" outlineLevel="0" collapsed="false">
      <c r="A31" s="5" t="s">
        <v>47</v>
      </c>
      <c r="B31" s="22" t="n">
        <f aca="false">-Proyeccion!I18/$B$4</f>
        <v>-0.0142143798057777</v>
      </c>
      <c r="C31" s="23" t="n">
        <f aca="false">Proyeccion!B18/$B$4</f>
        <v>0.0163383675928479</v>
      </c>
      <c r="D31" s="22" t="n">
        <f aca="false">-Proyeccion!M18/$F$4</f>
        <v>-0.0195053422796711</v>
      </c>
      <c r="E31" s="23" t="n">
        <f aca="false">Proyeccion!F18/$F$4</f>
        <v>0.0224525484847451</v>
      </c>
    </row>
    <row r="32" customFormat="false" ht="15" hidden="false" customHeight="false" outlineLevel="0" collapsed="false">
      <c r="A32" s="5" t="s">
        <v>48</v>
      </c>
      <c r="B32" s="22" t="n">
        <f aca="false">-Proyeccion!I19/$B$4</f>
        <v>-0.0102931715834942</v>
      </c>
      <c r="C32" s="23" t="n">
        <f aca="false">Proyeccion!B19/$B$4</f>
        <v>0.0122537756946359</v>
      </c>
      <c r="D32" s="22" t="n">
        <f aca="false">-Proyeccion!M19/$F$4</f>
        <v>-0.015753072548915</v>
      </c>
      <c r="E32" s="23" t="n">
        <f aca="false">Proyeccion!F19/$F$4</f>
        <v>0.018790143861497</v>
      </c>
    </row>
    <row r="33" customFormat="false" ht="15" hidden="false" customHeight="false" outlineLevel="0" collapsed="false">
      <c r="A33" s="5" t="s">
        <v>49</v>
      </c>
      <c r="B33" s="22" t="n">
        <f aca="false">-Proyeccion!I20/$B$4</f>
        <v>-0.00694380622696035</v>
      </c>
      <c r="C33" s="23" t="n">
        <f aca="false">Proyeccion!B20/$B$4</f>
        <v>0.00867975778370044</v>
      </c>
      <c r="D33" s="22" t="n">
        <f aca="false">-Proyeccion!M20/$F$4</f>
        <v>-0.0112218498670526</v>
      </c>
      <c r="E33" s="23" t="n">
        <f aca="false">Proyeccion!F20/$F$4</f>
        <v>0.0139832937118363</v>
      </c>
    </row>
    <row r="34" customFormat="false" ht="15" hidden="false" customHeight="false" outlineLevel="0" collapsed="false">
      <c r="A34" s="5" t="s">
        <v>50</v>
      </c>
      <c r="B34" s="22" t="n">
        <f aca="false">-Proyeccion!I21/$B$4</f>
        <v>-0.00426839853363151</v>
      </c>
      <c r="C34" s="23" t="n">
        <f aca="false">Proyeccion!B21/$B$4</f>
        <v>0.00561631386004146</v>
      </c>
      <c r="D34" s="22" t="n">
        <f aca="false">-Proyeccion!M21/$F$4</f>
        <v>-0.00655720927872454</v>
      </c>
      <c r="E34" s="23" t="n">
        <f aca="false">Proyeccion!F21/$F$4</f>
        <v>0.00870062233192184</v>
      </c>
    </row>
    <row r="35" customFormat="false" ht="15" hidden="false" customHeight="false" outlineLevel="0" collapsed="false">
      <c r="A35" s="5" t="s">
        <v>51</v>
      </c>
      <c r="B35" s="22" t="n">
        <f aca="false">-Proyeccion!I22/$B$4</f>
        <v>-0.00321661611984193</v>
      </c>
      <c r="C35" s="23" t="n">
        <f aca="false">Proyeccion!B22/$B$4</f>
        <v>0.00459516588548847</v>
      </c>
      <c r="D35" s="22" t="n">
        <f aca="false">-Proyeccion!M22/$F$4</f>
        <v>-0.00391263559570145</v>
      </c>
      <c r="E35" s="23" t="n">
        <f aca="false">Proyeccion!F22/$F$4</f>
        <v>0.00587433192320412</v>
      </c>
    </row>
    <row r="37" customFormat="false" ht="15" hidden="false" customHeight="false" outlineLevel="0" collapsed="false">
      <c r="A37" s="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2026-10-20T16:01:58Z</dcterms:created>
  <dc:creator>openpyxl</dc:creator>
  <dc:description/>
  <dc:language>en-US</dc:language>
  <cp:lastModifiedBy/>
  <dcterms:modified xsi:type="dcterms:W3CDTF">2026-10-20T11:02:05Z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