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TablaVida" sheetId="2" state="visible" r:id="rId4"/>
    <sheet name="Supervivenci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nMx = nDx / nNx</t>
        </r>
      </text>
    </comment>
    <comment ref="G4" authorId="0">
      <text>
        <r>
          <rPr>
            <sz val="10"/>
            <rFont val="Arial"/>
            <family val="2"/>
          </rPr>
          <t xml:space="preserve">Años vividos en el intervalo por quienes mueren en él. 0 y 1-4: Coale-Demeny (mujeres); 5-84: n/2; 85+: 1/M</t>
        </r>
      </text>
    </comment>
    <comment ref="H4" authorId="0">
      <text>
        <r>
          <rPr>
            <sz val="10"/>
            <rFont val="Arial"/>
            <family val="2"/>
          </rPr>
          <t xml:space="preserve">nqx = n·M / (1 + (n − a)·M). Último grupo: 1</t>
        </r>
      </text>
    </comment>
    <comment ref="I4" authorId="0">
      <text>
        <r>
          <rPr>
            <sz val="10"/>
            <rFont val="Arial"/>
            <family val="2"/>
          </rPr>
          <t xml:space="preserve">lx(x+n) = lx · (1 − nqx)</t>
        </r>
      </text>
    </comment>
    <comment ref="J4" authorId="0">
      <text>
        <r>
          <rPr>
            <sz val="10"/>
            <rFont val="Arial"/>
            <family val="2"/>
          </rPr>
          <t xml:space="preserve">ndx = lx · nqx</t>
        </r>
      </text>
    </comment>
    <comment ref="K4" authorId="0">
      <text>
        <r>
          <rPr>
            <sz val="10"/>
            <rFont val="Arial"/>
            <family val="2"/>
          </rPr>
          <t xml:space="preserve">nLx = n·l(x+n) + a·ndx. Último grupo: lx / M</t>
        </r>
      </text>
    </comment>
    <comment ref="L4" authorId="0">
      <text>
        <r>
          <rPr>
            <sz val="10"/>
            <rFont val="Arial"/>
            <family val="2"/>
          </rPr>
          <t xml:space="preserve">Tx = suma de nLx desde x hasta el final</t>
        </r>
      </text>
    </comment>
    <comment ref="M4" authorId="0">
      <text>
        <r>
          <rPr>
            <sz val="10"/>
            <rFont val="Arial"/>
            <family val="2"/>
          </rPr>
          <t xml:space="preserve">ex = Tx / lx</t>
        </r>
      </text>
    </comment>
  </commentList>
</comments>
</file>

<file path=xl/sharedStrings.xml><?xml version="1.0" encoding="utf-8"?>
<sst xmlns="http://schemas.openxmlformats.org/spreadsheetml/2006/main" count="99" uniqueCount="82">
  <si>
    <t xml:space="preserve">Sesión 6 · Tabla de vida abreviada (mujeres)</t>
  </si>
  <si>
    <t xml:space="preserve">Convención de colores</t>
  </si>
  <si>
    <t xml:space="preserve">Entrada</t>
  </si>
  <si>
    <t xml:space="preserve">Dato o supuesto: puede modificarse.</t>
  </si>
  <si>
    <t xml:space="preserve">Fórmula</t>
  </si>
  <si>
    <t xml:space="preserve">Cálculo: no sobrescribir con valores.</t>
  </si>
  <si>
    <t xml:space="preserve">Resultado</t>
  </si>
  <si>
    <t xml:space="preserve">Resultado clave del ejercicio.</t>
  </si>
  <si>
    <t xml:space="preserve">Pasos</t>
  </si>
  <si>
    <t xml:space="preserve">1.</t>
  </si>
  <si>
    <t xml:space="preserve">En 'TablaVida', las columnas C y D son entradas: población a mitad de periodo y defunciones por edad.</t>
  </si>
  <si>
    <t xml:space="preserve">2.</t>
  </si>
  <si>
    <t xml:space="preserve">Siga las columnas de izquierda a derecha: nMx → nax → nqx → lx → ndx → nLx → Tx → ex.</t>
  </si>
  <si>
    <t xml:space="preserve">3.</t>
  </si>
  <si>
    <t xml:space="preserve">Lea el comentario de cada encabezado: explica la fórmula.</t>
  </si>
  <si>
    <t xml:space="preserve">4.</t>
  </si>
  <si>
    <t xml:space="preserve">Revise la esperanza de vida al nacer (celda resaltada) y cambie algunas defunciones para ver su efecto.</t>
  </si>
  <si>
    <t xml:space="preserve">5.</t>
  </si>
  <si>
    <t xml:space="preserve">En 'Supervivencia', los nLx se agrupan en quinquenios y se calculan las relaciones de supervivencia que usa la sesión 11.</t>
  </si>
  <si>
    <t xml:space="preserve">Los datos de esta plantilla son FICTICIOS y tienen fines didácticos. Reemplácelos por datos oficiales (ver datos/README.md).</t>
  </si>
  <si>
    <t xml:space="preserve">Tabla de vida abreviada · mujeres · población ficticia</t>
  </si>
  <si>
    <t xml:space="preserve">Raíz l0:</t>
  </si>
  <si>
    <t xml:space="preserve">Edad</t>
  </si>
  <si>
    <t xml:space="preserve">x</t>
  </si>
  <si>
    <t xml:space="preserve">n</t>
  </si>
  <si>
    <t xml:space="preserve">Población nNx</t>
  </si>
  <si>
    <t xml:space="preserve">Defunciones nDx</t>
  </si>
  <si>
    <t xml:space="preserve">nMx</t>
  </si>
  <si>
    <t xml:space="preserve">nax</t>
  </si>
  <si>
    <t xml:space="preserve">nqx</t>
  </si>
  <si>
    <t xml:space="preserve">lx</t>
  </si>
  <si>
    <t xml:space="preserve">ndx</t>
  </si>
  <si>
    <t xml:space="preserve">nLx</t>
  </si>
  <si>
    <t xml:space="preserve">Tx</t>
  </si>
  <si>
    <t xml:space="preserve">ex</t>
  </si>
  <si>
    <t xml:space="preserve">0</t>
  </si>
  <si>
    <t xml:space="preserve">1-4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</si>
  <si>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</si>
  <si>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</si>
  <si>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</si>
  <si>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</si>
  <si>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</si>
  <si>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</si>
  <si>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</si>
  <si>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</si>
  <si>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</si>
  <si>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</si>
  <si>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</si>
  <si>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</si>
  <si>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</si>
  <si>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</si>
  <si>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</si>
  <si>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</si>
  <si>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85+</t>
  </si>
  <si>
    <t xml:space="preserve">—</t>
  </si>
  <si>
    <t xml:space="preserve">Esperanza de vida al nacer (e0):</t>
  </si>
  <si>
    <t xml:space="preserve">Fuente: datos ficticios. Para el taller: población DANE (proyecciones) y defunciones de Estadísticas Vitales del mismo año y unidad territorial.</t>
  </si>
  <si>
    <t xml:space="preserve">Relaciones de supervivencia quinquenales (insumo de la sesión 11)</t>
  </si>
  <si>
    <t xml:space="preserve">Grupo</t>
  </si>
  <si>
    <t xml:space="preserve">5Lx</t>
  </si>
  <si>
    <t xml:space="preserve">Sx = 5L(x+5) / 5Lx</t>
  </si>
  <si>
    <t xml:space="preserve">Nota</t>
  </si>
  <si>
    <t xml:space="preserve">0-4</t>
  </si>
  <si>
    <t xml:space="preserve">De 0-4 a 5-9</t>
  </si>
  <si>
    <t xml:space="preserve">De 5-9 a 10-14</t>
  </si>
  <si>
    <t xml:space="preserve">De 10-14 a 15-19</t>
  </si>
  <si>
    <t xml:space="preserve">De 15-19 a 20-24</t>
  </si>
  <si>
    <t xml:space="preserve">De 20-24 a 25-29</t>
  </si>
  <si>
    <t xml:space="preserve">De 25-29 a 30-34</t>
  </si>
  <si>
    <t xml:space="preserve">De 30-34 a 35-39</t>
  </si>
  <si>
    <t xml:space="preserve">De 35-39 a 40-44</t>
  </si>
  <si>
    <t xml:space="preserve">De 40-44 a 45-49</t>
  </si>
  <si>
    <t xml:space="preserve">De 45-49 a 50-54</t>
  </si>
  <si>
    <t xml:space="preserve">De 50-54 a 55-59</t>
  </si>
  <si>
    <t xml:space="preserve">De 55-59 a 60-64</t>
  </si>
  <si>
    <t xml:space="preserve">De 60-64 a 65-69</t>
  </si>
  <si>
    <t xml:space="preserve">De 65-69 a 70-74</t>
  </si>
  <si>
    <t xml:space="preserve">De 70-74 a 75-79</t>
  </si>
  <si>
    <t xml:space="preserve">De 75-79 a 80-84</t>
  </si>
  <si>
    <t xml:space="preserve">Grupo abierto: (80-84 y 85+) → 85+  =  L85+ / (L80 + L85+)</t>
  </si>
  <si>
    <t xml:space="preserve">Supervivencia de nacimientos a 0-4:</t>
  </si>
  <si>
    <t xml:space="preserve">5L0 / (5 · l0)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</si>
</sst>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0.00000"/>
    <numFmt numFmtId="168" formatCode="0.000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4" t="s">
        <v>5</v>
      </c>
    </row>
    <row r="6" customFormat="false" ht="15" hidden="false" customHeight="false" outlineLevel="0" collapsed="false">
      <c r="A6" s="6" t="s">
        <v>6</v>
      </c>
      <c r="B6" s="4" t="s">
        <v>7</v>
      </c>
    </row>
    <row r="8" customFormat="false" ht="15" hidden="false" customHeight="false" outlineLevel="0" collapsed="false">
      <c r="A8" s="2" t="s">
        <v>8</v>
      </c>
    </row>
    <row r="9" customFormat="false" ht="15" hidden="false" customHeight="false" outlineLevel="0" collapsed="false">
      <c r="A9" s="4" t="s">
        <v>9</v>
      </c>
      <c r="B9" s="4" t="s">
        <v>10</v>
      </c>
    </row>
    <row r="10" customFormat="false" ht="15" hidden="false" customHeight="false" outlineLevel="0" collapsed="false">
      <c r="A10" s="4" t="s">
        <v>11</v>
      </c>
      <c r="B10" s="4" t="s">
        <v>12</v>
      </c>
    </row>
    <row r="11" customFormat="false" ht="15" hidden="false" customHeight="false" outlineLevel="0" collapsed="false">
      <c r="A11" s="4" t="s">
        <v>13</v>
      </c>
      <c r="B11" s="4" t="s">
        <v>14</v>
      </c>
    </row>
    <row r="12" customFormat="false" ht="15" hidden="false" customHeight="false" outlineLevel="0" collapsed="false">
      <c r="A12" s="4" t="s">
        <v>15</v>
      </c>
      <c r="B12" s="4" t="s">
        <v>16</v>
      </c>
    </row>
    <row r="13" customFormat="false" ht="15" hidden="false" customHeight="false" outlineLevel="0" collapsed="false">
      <c r="A13" s="4" t="s">
        <v>17</v>
      </c>
      <c r="B13" s="4" t="s">
        <v>18</v>
      </c>
    </row>
    <row r="15" customFormat="false" ht="15" hidden="false" customHeight="false" outlineLevel="0" collapsed="false">
      <c r="A15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6"/>
    <col collapsed="false" customWidth="true" hidden="false" outlineLevel="0" max="5" min="4" style="0" width="14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8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4" t="s">
        <v>21</v>
      </c>
      <c r="B2" s="8" t="n">
        <v>100000</v>
      </c>
    </row>
    <row r="4" customFormat="false" ht="26.85" hidden="false" customHeight="false" outlineLevel="0" collapsed="false">
      <c r="A4" s="9" t="s">
        <v>22</v>
      </c>
      <c r="B4" s="9" t="s">
        <v>23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  <c r="J4" s="9" t="s">
        <v>31</v>
      </c>
      <c r="K4" s="9" t="s">
        <v>32</v>
      </c>
      <c r="L4" s="9" t="s">
        <v>33</v>
      </c>
      <c r="M4" s="9" t="s">
        <v>34</v>
      </c>
    </row>
    <row r="5" customFormat="false" ht="15" hidden="false" customHeight="false" outlineLevel="0" collapsed="false">
      <c r="A5" s="5" t="s">
        <v>35</v>
      </c>
      <c r="B5" s="10" t="n">
        <v>0</v>
      </c>
      <c r="C5" s="10" t="n">
        <v>1</v>
      </c>
      <c r="D5" s="8" t="n">
        <v>7600</v>
      </c>
      <c r="E5" s="8" t="n">
        <v>91</v>
      </c>
      <c r="F5" s="11" t="n">
        <f aca="false">E5/D5</f>
        <v>0.0119736842105263</v>
      </c>
      <c r="G5" s="12" t="n">
        <f aca="false">IF(F5&gt;=0.107,0.35,0.053+2.8*F5)</f>
        <v>0.0865263157894737</v>
      </c>
      <c r="H5" s="11" t="n">
        <f aca="false">C5*F5/(1+(C5-G5)*F5)</f>
        <v>0.0118441372370112</v>
      </c>
      <c r="I5" s="13" t="n">
        <f aca="false">$B$2</f>
        <v>100000</v>
      </c>
      <c r="J5" s="13" t="n">
        <f aca="false">I5*H5</f>
        <v>1184.41372370112</v>
      </c>
      <c r="K5" s="13" t="n">
        <f aca="false">C5*I6+G5*J5</f>
        <v>98918.0692321812</v>
      </c>
      <c r="L5" s="13" t="n">
        <f aca="false">SUM(K5:K$23)</f>
        <v>7573788.88721294</v>
      </c>
      <c r="M5" s="14" t="n">
        <f aca="false">L5/I5</f>
        <v>75.7378888721294</v>
      </c>
    </row>
    <row r="6" customFormat="false" ht="15" hidden="false" customHeight="false" outlineLevel="0" collapsed="false">
      <c r="A6" s="5" t="s">
        <v>36</v>
      </c>
      <c r="B6" s="10" t="n">
        <v>1</v>
      </c>
      <c r="C6" s="10" t="n">
        <v>4</v>
      </c>
      <c r="D6" s="8" t="n">
        <v>30400</v>
      </c>
      <c r="E6" s="8" t="n">
        <v>18</v>
      </c>
      <c r="F6" s="11" t="n">
        <f aca="false">E6/D6</f>
        <v>0.000592105263157895</v>
      </c>
      <c r="G6" s="12" t="n">
        <f aca="false">IF(F5&gt;=0.107,1.361,1.522-1.518*F5)</f>
        <v>1.50382394736842</v>
      </c>
      <c r="H6" s="11" t="n">
        <f aca="false">C6*F6/(1+(C6-G6)*F6)</f>
        <v>0.00236492569487026</v>
      </c>
      <c r="I6" s="13" t="n">
        <f aca="false">I5*(1-H5)</f>
        <v>98815.5862762989</v>
      </c>
      <c r="J6" s="13" t="n">
        <f aca="false">I6*H6</f>
        <v>233.691519038488</v>
      </c>
      <c r="K6" s="13" t="n">
        <f aca="false">C6*I7+G6*J6</f>
        <v>394679.009931669</v>
      </c>
      <c r="L6" s="13" t="n">
        <f aca="false">SUM(K6:K$23)</f>
        <v>7474870.81798076</v>
      </c>
      <c r="M6" s="15" t="n">
        <f aca="false">L6/I6</f>
        <v>75.6446538411484</v>
      </c>
    </row>
    <row r="7" customFormat="false" ht="15" hidden="false" customHeight="false" outlineLevel="0" collapsed="false">
      <c r="A7" s="5" t="s">
        <v>37</v>
      </c>
      <c r="B7" s="10" t="n">
        <v>5</v>
      </c>
      <c r="C7" s="10" t="n">
        <v>5</v>
      </c>
      <c r="D7" s="8" t="n">
        <v>39000</v>
      </c>
      <c r="E7" s="8" t="n">
        <v>8</v>
      </c>
      <c r="F7" s="11" t="n">
        <f aca="false">E7/D7</f>
        <v>0.000205128205128205</v>
      </c>
      <c r="G7" s="12" t="n">
        <f aca="false">C7/2</f>
        <v>2.5</v>
      </c>
      <c r="H7" s="11" t="n">
        <f aca="false">C7*F7/(1+(C7-G7)*F7)</f>
        <v>0.00102511532547412</v>
      </c>
      <c r="I7" s="13" t="n">
        <f aca="false">I6*(1-H6)</f>
        <v>98581.8947572604</v>
      </c>
      <c r="J7" s="13" t="n">
        <f aca="false">I7*H7</f>
        <v>101.057811129944</v>
      </c>
      <c r="K7" s="13" t="n">
        <f aca="false">C7*I8+G7*J7</f>
        <v>492656.829258477</v>
      </c>
      <c r="L7" s="13" t="n">
        <f aca="false">SUM(K7:K$23)</f>
        <v>7080191.80804909</v>
      </c>
      <c r="M7" s="15" t="n">
        <f aca="false">L7/I7</f>
        <v>71.8204070380545</v>
      </c>
    </row>
    <row r="8" customFormat="false" ht="15" hidden="false" customHeight="false" outlineLevel="0" collapsed="false">
      <c r="A8" s="5" t="s">
        <v>38</v>
      </c>
      <c r="B8" s="10" t="n">
        <v>10</v>
      </c>
      <c r="C8" s="10" t="n">
        <v>5</v>
      </c>
      <c r="D8" s="8" t="n">
        <v>40000</v>
      </c>
      <c r="E8" s="8" t="n">
        <v>10</v>
      </c>
      <c r="F8" s="11" t="n">
        <f aca="false">E8/D8</f>
        <v>0.00025</v>
      </c>
      <c r="G8" s="12" t="n">
        <f aca="false">C8/2</f>
        <v>2.5</v>
      </c>
      <c r="H8" s="11" t="n">
        <f aca="false">C8*F8/(1+(C8-G8)*F8)</f>
        <v>0.00124921923797626</v>
      </c>
      <c r="I8" s="13" t="n">
        <f aca="false">I7*(1-H7)</f>
        <v>98480.8369461305</v>
      </c>
      <c r="J8" s="13" t="n">
        <f aca="false">I8*H8</f>
        <v>123.02415608511</v>
      </c>
      <c r="K8" s="13" t="n">
        <f aca="false">C8*I9+G8*J8</f>
        <v>492096.624340439</v>
      </c>
      <c r="L8" s="13" t="n">
        <f aca="false">SUM(K8:K$23)</f>
        <v>6587534.97879062</v>
      </c>
      <c r="M8" s="15" t="n">
        <f aca="false">L8/I8</f>
        <v>66.8915413705717</v>
      </c>
    </row>
    <row r="9" customFormat="false" ht="15" hidden="false" customHeight="false" outlineLevel="0" collapsed="false">
      <c r="A9" s="5" t="s">
        <v>39</v>
      </c>
      <c r="B9" s="10" t="n">
        <v>15</v>
      </c>
      <c r="C9" s="10" t="n">
        <v>5</v>
      </c>
      <c r="D9" s="8" t="n">
        <v>42000</v>
      </c>
      <c r="E9" s="8" t="n">
        <v>25</v>
      </c>
      <c r="F9" s="11" t="n">
        <f aca="false">E9/D9</f>
        <v>0.000595238095238095</v>
      </c>
      <c r="G9" s="12" t="n">
        <f aca="false">C9/2</f>
        <v>2.5</v>
      </c>
      <c r="H9" s="11" t="n">
        <f aca="false">C9*F9/(1+(C9-G9)*F9)</f>
        <v>0.00297176820208024</v>
      </c>
      <c r="I9" s="13" t="n">
        <f aca="false">I8*(1-H8)</f>
        <v>98357.8127900453</v>
      </c>
      <c r="J9" s="13" t="n">
        <f aca="false">I9*H9</f>
        <v>292.296620475618</v>
      </c>
      <c r="K9" s="13" t="n">
        <f aca="false">C9*I10+G9*J9</f>
        <v>491058.322399038</v>
      </c>
      <c r="L9" s="13" t="n">
        <f aca="false">SUM(K9:K$23)</f>
        <v>6095438.35445018</v>
      </c>
      <c r="M9" s="15" t="n">
        <f aca="false">L9/I9</f>
        <v>61.9720811346375</v>
      </c>
    </row>
    <row r="10" customFormat="false" ht="15" hidden="false" customHeight="false" outlineLevel="0" collapsed="false">
      <c r="A10" s="5" t="s">
        <v>40</v>
      </c>
      <c r="B10" s="10" t="n">
        <v>20</v>
      </c>
      <c r="C10" s="10" t="n">
        <v>5</v>
      </c>
      <c r="D10" s="8" t="n">
        <v>43000</v>
      </c>
      <c r="E10" s="8" t="n">
        <v>34</v>
      </c>
      <c r="F10" s="11" t="n">
        <f aca="false">E10/D10</f>
        <v>0.000790697674418605</v>
      </c>
      <c r="G10" s="12" t="n">
        <f aca="false">C10/2</f>
        <v>2.5</v>
      </c>
      <c r="H10" s="11" t="n">
        <f aca="false">C10*F10/(1+(C10-G10)*F10)</f>
        <v>0.00394568875478705</v>
      </c>
      <c r="I10" s="13" t="n">
        <f aca="false">I9*(1-H9)</f>
        <v>98065.5161695697</v>
      </c>
      <c r="J10" s="13" t="n">
        <f aca="false">I10*H10</f>
        <v>386.936004382659</v>
      </c>
      <c r="K10" s="13" t="n">
        <f aca="false">C10*I11+G10*J10</f>
        <v>489360.240836892</v>
      </c>
      <c r="L10" s="13" t="n">
        <f aca="false">SUM(K10:K$23)</f>
        <v>5604380.03205114</v>
      </c>
      <c r="M10" s="15" t="n">
        <f aca="false">L10/I10</f>
        <v>57.1493451618644</v>
      </c>
    </row>
    <row r="11" customFormat="false" ht="15" hidden="false" customHeight="false" outlineLevel="0" collapsed="false">
      <c r="A11" s="5" t="s">
        <v>41</v>
      </c>
      <c r="B11" s="10" t="n">
        <v>25</v>
      </c>
      <c r="C11" s="10" t="n">
        <v>5</v>
      </c>
      <c r="D11" s="8" t="n">
        <v>41000</v>
      </c>
      <c r="E11" s="8" t="n">
        <v>37</v>
      </c>
      <c r="F11" s="11" t="n">
        <f aca="false">E11/D11</f>
        <v>0.000902439024390244</v>
      </c>
      <c r="G11" s="12" t="n">
        <f aca="false">C11/2</f>
        <v>2.5</v>
      </c>
      <c r="H11" s="11" t="n">
        <f aca="false">C11*F11/(1+(C11-G11)*F11)</f>
        <v>0.00450203808480866</v>
      </c>
      <c r="I11" s="13" t="n">
        <f aca="false">I10*(1-H10)</f>
        <v>97678.5801651871</v>
      </c>
      <c r="J11" s="13" t="n">
        <f aca="false">I11*H11</f>
        <v>439.752687973708</v>
      </c>
      <c r="K11" s="13" t="n">
        <f aca="false">C11*I12+G11*J11</f>
        <v>487293.519106001</v>
      </c>
      <c r="L11" s="13" t="n">
        <f aca="false">SUM(K11:K$23)</f>
        <v>5115019.79121425</v>
      </c>
      <c r="M11" s="15" t="n">
        <f aca="false">L11/I11</f>
        <v>52.365828644971</v>
      </c>
    </row>
    <row r="12" customFormat="false" ht="15" hidden="false" customHeight="false" outlineLevel="0" collapsed="false">
      <c r="A12" s="5" t="s">
        <v>42</v>
      </c>
      <c r="B12" s="10" t="n">
        <v>30</v>
      </c>
      <c r="C12" s="10" t="n">
        <v>5</v>
      </c>
      <c r="D12" s="8" t="n">
        <v>38000</v>
      </c>
      <c r="E12" s="8" t="n">
        <v>42</v>
      </c>
      <c r="F12" s="11" t="n">
        <f aca="false">E12/D12</f>
        <v>0.00110526315789474</v>
      </c>
      <c r="G12" s="12" t="n">
        <f aca="false">C12/2</f>
        <v>2.5</v>
      </c>
      <c r="H12" s="11" t="n">
        <f aca="false">C12*F12/(1+(C12-G12)*F12)</f>
        <v>0.00551108778375541</v>
      </c>
      <c r="I12" s="13" t="n">
        <f aca="false">I11*(1-H11)</f>
        <v>97238.8274772133</v>
      </c>
      <c r="J12" s="13" t="n">
        <f aca="false">I12*H12</f>
        <v>535.891714216371</v>
      </c>
      <c r="K12" s="13" t="n">
        <f aca="false">C12*I13+G12*J12</f>
        <v>484854.408100526</v>
      </c>
      <c r="L12" s="13" t="n">
        <f aca="false">SUM(K12:K$23)</f>
        <v>4627726.27210825</v>
      </c>
      <c r="M12" s="15" t="n">
        <f aca="false">L12/I12</f>
        <v>47.5913417733538</v>
      </c>
    </row>
    <row r="13" customFormat="false" ht="15" hidden="false" customHeight="false" outlineLevel="0" collapsed="false">
      <c r="A13" s="5" t="s">
        <v>43</v>
      </c>
      <c r="B13" s="10" t="n">
        <v>35</v>
      </c>
      <c r="C13" s="10" t="n">
        <v>5</v>
      </c>
      <c r="D13" s="8" t="n">
        <v>35000</v>
      </c>
      <c r="E13" s="8" t="n">
        <v>52</v>
      </c>
      <c r="F13" s="11" t="n">
        <f aca="false">E13/D13</f>
        <v>0.00148571428571429</v>
      </c>
      <c r="G13" s="12" t="n">
        <f aca="false">C13/2</f>
        <v>2.5</v>
      </c>
      <c r="H13" s="11" t="n">
        <f aca="false">C13*F13/(1+(C13-G13)*F13)</f>
        <v>0.00740108169655565</v>
      </c>
      <c r="I13" s="13" t="n">
        <f aca="false">I12*(1-H12)</f>
        <v>96702.935762997</v>
      </c>
      <c r="J13" s="13" t="n">
        <f aca="false">I13*H13</f>
        <v>715.706327878714</v>
      </c>
      <c r="K13" s="13" t="n">
        <f aca="false">C13*I14+G13*J13</f>
        <v>481725.412995288</v>
      </c>
      <c r="L13" s="13" t="n">
        <f aca="false">SUM(K13:K$23)</f>
        <v>4142871.86400772</v>
      </c>
      <c r="M13" s="15" t="n">
        <f aca="false">L13/I13</f>
        <v>42.8412212237405</v>
      </c>
    </row>
    <row r="14" customFormat="false" ht="15" hidden="false" customHeight="false" outlineLevel="0" collapsed="false">
      <c r="A14" s="5" t="s">
        <v>44</v>
      </c>
      <c r="B14" s="10" t="n">
        <v>40</v>
      </c>
      <c r="C14" s="10" t="n">
        <v>5</v>
      </c>
      <c r="D14" s="8" t="n">
        <v>32000</v>
      </c>
      <c r="E14" s="8" t="n">
        <v>70</v>
      </c>
      <c r="F14" s="11" t="n">
        <f aca="false">E14/D14</f>
        <v>0.0021875</v>
      </c>
      <c r="G14" s="12" t="n">
        <f aca="false">C14/2</f>
        <v>2.5</v>
      </c>
      <c r="H14" s="11" t="n">
        <f aca="false">C14*F14/(1+(C14-G14)*F14)</f>
        <v>0.0108780108780109</v>
      </c>
      <c r="I14" s="13" t="n">
        <f aca="false">I13*(1-H13)</f>
        <v>95987.2294351183</v>
      </c>
      <c r="J14" s="13" t="n">
        <f aca="false">I14*H14</f>
        <v>1044.15012594534</v>
      </c>
      <c r="K14" s="13" t="n">
        <f aca="false">C14*I15+G14*J14</f>
        <v>477325.771860728</v>
      </c>
      <c r="L14" s="13" t="n">
        <f aca="false">SUM(K14:K$23)</f>
        <v>3661146.45101243</v>
      </c>
      <c r="M14" s="15" t="n">
        <f aca="false">L14/I14</f>
        <v>38.1420161052482</v>
      </c>
    </row>
    <row r="15" customFormat="false" ht="15" hidden="false" customHeight="false" outlineLevel="0" collapsed="false">
      <c r="A15" s="5" t="s">
        <v>45</v>
      </c>
      <c r="B15" s="10" t="n">
        <v>45</v>
      </c>
      <c r="C15" s="10" t="n">
        <v>5</v>
      </c>
      <c r="D15" s="8" t="n">
        <v>30000</v>
      </c>
      <c r="E15" s="8" t="n">
        <v>102</v>
      </c>
      <c r="F15" s="11" t="n">
        <f aca="false">E15/D15</f>
        <v>0.0034</v>
      </c>
      <c r="G15" s="12" t="n">
        <f aca="false">C15/2</f>
        <v>2.5</v>
      </c>
      <c r="H15" s="11" t="n">
        <f aca="false">C15*F15/(1+(C15-G15)*F15)</f>
        <v>0.0168567178978681</v>
      </c>
      <c r="I15" s="13" t="n">
        <f aca="false">I14*(1-H14)</f>
        <v>94943.0793091729</v>
      </c>
      <c r="J15" s="13" t="n">
        <f aca="false">I15*H15</f>
        <v>1600.42870426965</v>
      </c>
      <c r="K15" s="13" t="n">
        <f aca="false">C15*I16+G15*J15</f>
        <v>470714.324785191</v>
      </c>
      <c r="L15" s="13" t="n">
        <f aca="false">SUM(K15:K$23)</f>
        <v>3183820.6791517</v>
      </c>
      <c r="M15" s="15" t="n">
        <f aca="false">L15/I15</f>
        <v>33.5339942870812</v>
      </c>
    </row>
    <row r="16" customFormat="false" ht="15" hidden="false" customHeight="false" outlineLevel="0" collapsed="false">
      <c r="A16" s="5" t="s">
        <v>46</v>
      </c>
      <c r="B16" s="10" t="n">
        <v>50</v>
      </c>
      <c r="C16" s="10" t="n">
        <v>5</v>
      </c>
      <c r="D16" s="8" t="n">
        <v>28000</v>
      </c>
      <c r="E16" s="8" t="n">
        <v>146</v>
      </c>
      <c r="F16" s="11" t="n">
        <f aca="false">E16/D16</f>
        <v>0.00521428571428572</v>
      </c>
      <c r="G16" s="12" t="n">
        <f aca="false">C16/2</f>
        <v>2.5</v>
      </c>
      <c r="H16" s="11" t="n">
        <f aca="false">C16*F16/(1+(C16-G16)*F16)</f>
        <v>0.0257359421822669</v>
      </c>
      <c r="I16" s="13" t="n">
        <f aca="false">I15*(1-H15)</f>
        <v>93342.6506049033</v>
      </c>
      <c r="J16" s="13" t="n">
        <f aca="false">I16*H16</f>
        <v>2402.26105910733</v>
      </c>
      <c r="K16" s="13" t="n">
        <f aca="false">C16*I17+G16*J16</f>
        <v>460707.600376748</v>
      </c>
      <c r="L16" s="13" t="n">
        <f aca="false">SUM(K16:K$23)</f>
        <v>2713106.35436651</v>
      </c>
      <c r="M16" s="15" t="n">
        <f aca="false">L16/I16</f>
        <v>29.066095046416</v>
      </c>
    </row>
    <row r="17" customFormat="false" ht="15" hidden="false" customHeight="false" outlineLevel="0" collapsed="false">
      <c r="A17" s="5" t="s">
        <v>47</v>
      </c>
      <c r="B17" s="10" t="n">
        <v>55</v>
      </c>
      <c r="C17" s="10" t="n">
        <v>5</v>
      </c>
      <c r="D17" s="8" t="n">
        <v>25000</v>
      </c>
      <c r="E17" s="8" t="n">
        <v>200</v>
      </c>
      <c r="F17" s="11" t="n">
        <f aca="false">E17/D17</f>
        <v>0.008</v>
      </c>
      <c r="G17" s="12" t="n">
        <f aca="false">C17/2</f>
        <v>2.5</v>
      </c>
      <c r="H17" s="11" t="n">
        <f aca="false">C17*F17/(1+(C17-G17)*F17)</f>
        <v>0.0392156862745098</v>
      </c>
      <c r="I17" s="13" t="n">
        <f aca="false">I16*(1-H16)</f>
        <v>90940.3895457959</v>
      </c>
      <c r="J17" s="13" t="n">
        <f aca="false">I17*H17</f>
        <v>3566.28978610965</v>
      </c>
      <c r="K17" s="13" t="n">
        <f aca="false">C17*I18+G17*J17</f>
        <v>445786.223263706</v>
      </c>
      <c r="L17" s="13" t="n">
        <f aca="false">SUM(K17:K$23)</f>
        <v>2252398.75398977</v>
      </c>
      <c r="M17" s="15" t="n">
        <f aca="false">L17/I17</f>
        <v>24.7678590914271</v>
      </c>
    </row>
    <row r="18" customFormat="false" ht="15" hidden="false" customHeight="false" outlineLevel="0" collapsed="false">
      <c r="A18" s="5" t="s">
        <v>48</v>
      </c>
      <c r="B18" s="10" t="n">
        <v>60</v>
      </c>
      <c r="C18" s="10" t="n">
        <v>5</v>
      </c>
      <c r="D18" s="8" t="n">
        <v>21000</v>
      </c>
      <c r="E18" s="8" t="n">
        <v>262</v>
      </c>
      <c r="F18" s="11" t="n">
        <f aca="false">E18/D18</f>
        <v>0.0124761904761905</v>
      </c>
      <c r="G18" s="12" t="n">
        <f aca="false">C18/2</f>
        <v>2.5</v>
      </c>
      <c r="H18" s="11" t="n">
        <f aca="false">C18*F18/(1+(C18-G18)*F18)</f>
        <v>0.0604941122142692</v>
      </c>
      <c r="I18" s="13" t="n">
        <f aca="false">I17*(1-H17)</f>
        <v>87374.0997596863</v>
      </c>
      <c r="J18" s="13" t="n">
        <f aca="false">I18*H18</f>
        <v>5285.61859548322</v>
      </c>
      <c r="K18" s="13" t="n">
        <f aca="false">C18*I19+G18*J18</f>
        <v>423656.452309724</v>
      </c>
      <c r="L18" s="13" t="n">
        <f aca="false">SUM(K18:K$23)</f>
        <v>1806612.53072606</v>
      </c>
      <c r="M18" s="15" t="n">
        <f aca="false">L18/I18</f>
        <v>20.6767512992405</v>
      </c>
    </row>
    <row r="19" customFormat="false" ht="15" hidden="false" customHeight="false" outlineLevel="0" collapsed="false">
      <c r="A19" s="5" t="s">
        <v>49</v>
      </c>
      <c r="B19" s="10" t="n">
        <v>65</v>
      </c>
      <c r="C19" s="10" t="n">
        <v>5</v>
      </c>
      <c r="D19" s="8" t="n">
        <v>16000</v>
      </c>
      <c r="E19" s="8" t="n">
        <v>320</v>
      </c>
      <c r="F19" s="11" t="n">
        <f aca="false">E19/D19</f>
        <v>0.02</v>
      </c>
      <c r="G19" s="12" t="n">
        <f aca="false">C19/2</f>
        <v>2.5</v>
      </c>
      <c r="H19" s="11" t="n">
        <f aca="false">C19*F19/(1+(C19-G19)*F19)</f>
        <v>0.0952380952380952</v>
      </c>
      <c r="I19" s="13" t="n">
        <f aca="false">I18*(1-H18)</f>
        <v>82088.4811642031</v>
      </c>
      <c r="J19" s="13" t="n">
        <f aca="false">I19*H19</f>
        <v>7817.95058706696</v>
      </c>
      <c r="K19" s="13" t="n">
        <f aca="false">C19*I20+G19*J19</f>
        <v>390897.529353348</v>
      </c>
      <c r="L19" s="13" t="n">
        <f aca="false">SUM(K19:K$23)</f>
        <v>1382956.07841634</v>
      </c>
      <c r="M19" s="15" t="n">
        <f aca="false">L19/I19</f>
        <v>16.8471393160507</v>
      </c>
    </row>
    <row r="20" customFormat="false" ht="15" hidden="false" customHeight="false" outlineLevel="0" collapsed="false">
      <c r="A20" s="5" t="s">
        <v>50</v>
      </c>
      <c r="B20" s="10" t="n">
        <v>70</v>
      </c>
      <c r="C20" s="10" t="n">
        <v>5</v>
      </c>
      <c r="D20" s="8" t="n">
        <v>12000</v>
      </c>
      <c r="E20" s="8" t="n">
        <v>396</v>
      </c>
      <c r="F20" s="11" t="n">
        <f aca="false">E20/D20</f>
        <v>0.033</v>
      </c>
      <c r="G20" s="12" t="n">
        <f aca="false">C20/2</f>
        <v>2.5</v>
      </c>
      <c r="H20" s="11" t="n">
        <f aca="false">C20*F20/(1+(C20-G20)*F20)</f>
        <v>0.152424942263279</v>
      </c>
      <c r="I20" s="13" t="n">
        <f aca="false">I19*(1-H19)</f>
        <v>74270.5305771361</v>
      </c>
      <c r="J20" s="13" t="n">
        <f aca="false">I20*H20</f>
        <v>11320.6813350831</v>
      </c>
      <c r="K20" s="13" t="n">
        <f aca="false">C20*I21+G20*J20</f>
        <v>343050.949547973</v>
      </c>
      <c r="L20" s="13" t="n">
        <f aca="false">SUM(K20:K$23)</f>
        <v>992058.549062989</v>
      </c>
      <c r="M20" s="15" t="n">
        <f aca="false">L20/I20</f>
        <v>13.357364507214</v>
      </c>
    </row>
    <row r="21" customFormat="false" ht="15" hidden="false" customHeight="false" outlineLevel="0" collapsed="false">
      <c r="A21" s="5" t="s">
        <v>51</v>
      </c>
      <c r="B21" s="10" t="n">
        <v>75</v>
      </c>
      <c r="C21" s="10" t="n">
        <v>5</v>
      </c>
      <c r="D21" s="8" t="n">
        <v>8500</v>
      </c>
      <c r="E21" s="8" t="n">
        <v>468</v>
      </c>
      <c r="F21" s="11" t="n">
        <f aca="false">E21/D21</f>
        <v>0.0550588235294118</v>
      </c>
      <c r="G21" s="12" t="n">
        <f aca="false">C21/2</f>
        <v>2.5</v>
      </c>
      <c r="H21" s="11" t="n">
        <f aca="false">C21*F21/(1+(C21-G21)*F21)</f>
        <v>0.241985522233712</v>
      </c>
      <c r="I21" s="13" t="n">
        <f aca="false">I20*(1-H20)</f>
        <v>62949.849242053</v>
      </c>
      <c r="J21" s="13" t="n">
        <f aca="false">I21*H21</f>
        <v>15232.9521433717</v>
      </c>
      <c r="K21" s="13" t="n">
        <f aca="false">C21*I22+G21*J21</f>
        <v>276666.865851836</v>
      </c>
      <c r="L21" s="13" t="n">
        <f aca="false">SUM(K21:K$23)</f>
        <v>649007.599515016</v>
      </c>
      <c r="M21" s="15" t="n">
        <f aca="false">L21/I21</f>
        <v>10.309915072544</v>
      </c>
    </row>
    <row r="22" customFormat="false" ht="15" hidden="false" customHeight="false" outlineLevel="0" collapsed="false">
      <c r="A22" s="5" t="s">
        <v>52</v>
      </c>
      <c r="B22" s="10" t="n">
        <v>80</v>
      </c>
      <c r="C22" s="10" t="n">
        <v>5</v>
      </c>
      <c r="D22" s="8" t="n">
        <v>5500</v>
      </c>
      <c r="E22" s="8" t="n">
        <v>495</v>
      </c>
      <c r="F22" s="11" t="n">
        <f aca="false">E22/D22</f>
        <v>0.09</v>
      </c>
      <c r="G22" s="12" t="n">
        <f aca="false">C22/2</f>
        <v>2.5</v>
      </c>
      <c r="H22" s="11" t="n">
        <f aca="false">C22*F22/(1+(C22-G22)*F22)</f>
        <v>0.36734693877551</v>
      </c>
      <c r="I22" s="13" t="n">
        <f aca="false">I21*(1-H21)</f>
        <v>47716.8970986814</v>
      </c>
      <c r="J22" s="13" t="n">
        <f aca="false">I22*H22</f>
        <v>17528.6560770666</v>
      </c>
      <c r="K22" s="13" t="n">
        <f aca="false">C22*I23+G22*J22</f>
        <v>194762.84530074</v>
      </c>
      <c r="L22" s="13" t="n">
        <f aca="false">SUM(K22:K$23)</f>
        <v>372340.73366318</v>
      </c>
      <c r="M22" s="15" t="n">
        <f aca="false">L22/I22</f>
        <v>7.8031212484994</v>
      </c>
    </row>
    <row r="23" customFormat="false" ht="15" hidden="false" customHeight="false" outlineLevel="0" collapsed="false">
      <c r="A23" s="5" t="s">
        <v>53</v>
      </c>
      <c r="B23" s="10" t="n">
        <v>85</v>
      </c>
      <c r="C23" s="5" t="s">
        <v>54</v>
      </c>
      <c r="D23" s="8" t="n">
        <v>4500</v>
      </c>
      <c r="E23" s="8" t="n">
        <v>765</v>
      </c>
      <c r="F23" s="11" t="n">
        <f aca="false">E23/D23</f>
        <v>0.17</v>
      </c>
      <c r="G23" s="12" t="n">
        <f aca="false">1/F23</f>
        <v>5.88235294117647</v>
      </c>
      <c r="H23" s="11" t="n">
        <v>1</v>
      </c>
      <c r="I23" s="13" t="n">
        <f aca="false">I22*(1-H22)</f>
        <v>30188.2410216147</v>
      </c>
      <c r="J23" s="13" t="n">
        <f aca="false">I23*H23</f>
        <v>30188.2410216147</v>
      </c>
      <c r="K23" s="13" t="n">
        <f aca="false">I23/F23</f>
        <v>177577.88836244</v>
      </c>
      <c r="L23" s="13" t="n">
        <f aca="false">SUM(K23:K$23)</f>
        <v>177577.88836244</v>
      </c>
      <c r="M23" s="15" t="n">
        <f aca="false">L23/I23</f>
        <v>5.88235294117647</v>
      </c>
    </row>
    <row r="25" customFormat="false" ht="15" hidden="false" customHeight="false" outlineLevel="0" collapsed="false">
      <c r="A25" s="2" t="s">
        <v>55</v>
      </c>
      <c r="D25" s="14" t="n">
        <f aca="false">M5</f>
        <v>75.7378888721294</v>
      </c>
    </row>
    <row r="26" customFormat="false" ht="15" hidden="false" customHeight="false" outlineLevel="0" collapsed="false">
      <c r="A26" s="7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57</v>
      </c>
    </row>
    <row r="3" customFormat="false" ht="15" hidden="false" customHeight="false" outlineLevel="0" collapsed="false">
      <c r="A3" s="9" t="s">
        <v>58</v>
      </c>
      <c r="B3" s="9" t="s">
        <v>59</v>
      </c>
      <c r="C3" s="9" t="s">
        <v>60</v>
      </c>
      <c r="D3" s="9" t="s">
        <v>61</v>
      </c>
    </row>
    <row r="4" customFormat="false" ht="15" hidden="false" customHeight="false" outlineLevel="0" collapsed="false">
      <c r="A4" s="5" t="s">
        <v>62</v>
      </c>
      <c r="B4" s="13" t="n">
        <f aca="false">TablaVida!K5+TablaVida!K6</f>
        <v>493597.07916385</v>
      </c>
      <c r="C4" s="11" t="n">
        <f aca="false">B5/B4</f>
        <v>0.998095106423714</v>
      </c>
      <c r="D4" s="16" t="s">
        <v>63</v>
      </c>
    </row>
    <row r="5" customFormat="false" ht="15" hidden="false" customHeight="false" outlineLevel="0" collapsed="false">
      <c r="A5" s="5" t="s">
        <v>37</v>
      </c>
      <c r="B5" s="13" t="n">
        <f aca="false">TablaVida!K7</f>
        <v>492656.829258477</v>
      </c>
      <c r="C5" s="11" t="n">
        <f aca="false">B6/B5</f>
        <v>0.998862890180816</v>
      </c>
      <c r="D5" s="16" t="s">
        <v>64</v>
      </c>
    </row>
    <row r="6" customFormat="false" ht="15" hidden="false" customHeight="false" outlineLevel="0" collapsed="false">
      <c r="A6" s="5" t="s">
        <v>38</v>
      </c>
      <c r="B6" s="13" t="n">
        <f aca="false">TablaVida!K8</f>
        <v>492096.624340439</v>
      </c>
      <c r="C6" s="11" t="n">
        <f aca="false">B7/B6</f>
        <v>0.997890044576523</v>
      </c>
      <c r="D6" s="16" t="s">
        <v>65</v>
      </c>
    </row>
    <row r="7" customFormat="false" ht="15" hidden="false" customHeight="false" outlineLevel="0" collapsed="false">
      <c r="A7" s="5" t="s">
        <v>39</v>
      </c>
      <c r="B7" s="13" t="n">
        <f aca="false">TablaVida!K9</f>
        <v>491058.322399038</v>
      </c>
      <c r="C7" s="11" t="n">
        <f aca="false">B8/B7</f>
        <v>0.996541996164835</v>
      </c>
      <c r="D7" s="16" t="s">
        <v>66</v>
      </c>
    </row>
    <row r="8" customFormat="false" ht="15" hidden="false" customHeight="false" outlineLevel="0" collapsed="false">
      <c r="A8" s="5" t="s">
        <v>40</v>
      </c>
      <c r="B8" s="13" t="n">
        <f aca="false">TablaVida!K10</f>
        <v>489360.240836892</v>
      </c>
      <c r="C8" s="11" t="n">
        <f aca="false">B9/B8</f>
        <v>0.995776686460354</v>
      </c>
      <c r="D8" s="16" t="s">
        <v>67</v>
      </c>
    </row>
    <row r="9" customFormat="false" ht="15" hidden="false" customHeight="false" outlineLevel="0" collapsed="false">
      <c r="A9" s="5" t="s">
        <v>41</v>
      </c>
      <c r="B9" s="13" t="n">
        <f aca="false">TablaVida!K11</f>
        <v>487293.519106001</v>
      </c>
      <c r="C9" s="11" t="n">
        <f aca="false">B10/B9</f>
        <v>0.994994575323</v>
      </c>
      <c r="D9" s="16" t="s">
        <v>68</v>
      </c>
    </row>
    <row r="10" customFormat="false" ht="15" hidden="false" customHeight="false" outlineLevel="0" collapsed="false">
      <c r="A10" s="5" t="s">
        <v>42</v>
      </c>
      <c r="B10" s="13" t="n">
        <f aca="false">TablaVida!K12</f>
        <v>484854.408100526</v>
      </c>
      <c r="C10" s="11" t="n">
        <f aca="false">B11/B10</f>
        <v>0.993546526435645</v>
      </c>
      <c r="D10" s="16" t="s">
        <v>69</v>
      </c>
    </row>
    <row r="11" customFormat="false" ht="15" hidden="false" customHeight="false" outlineLevel="0" collapsed="false">
      <c r="A11" s="5" t="s">
        <v>43</v>
      </c>
      <c r="B11" s="13" t="n">
        <f aca="false">TablaVida!K13</f>
        <v>481725.412995288</v>
      </c>
      <c r="C11" s="11" t="n">
        <f aca="false">B12/B11</f>
        <v>0.990866910866911</v>
      </c>
      <c r="D11" s="16" t="s">
        <v>70</v>
      </c>
    </row>
    <row r="12" customFormat="false" ht="15" hidden="false" customHeight="false" outlineLevel="0" collapsed="false">
      <c r="A12" s="5" t="s">
        <v>44</v>
      </c>
      <c r="B12" s="13" t="n">
        <f aca="false">TablaVida!K14</f>
        <v>477325.771860728</v>
      </c>
      <c r="C12" s="11" t="n">
        <f aca="false">B13/B12</f>
        <v>0.986148983639068</v>
      </c>
      <c r="D12" s="16" t="s">
        <v>71</v>
      </c>
    </row>
    <row r="13" customFormat="false" ht="15" hidden="false" customHeight="false" outlineLevel="0" collapsed="false">
      <c r="A13" s="5" t="s">
        <v>45</v>
      </c>
      <c r="B13" s="13" t="n">
        <f aca="false">TablaVida!K15</f>
        <v>470714.324785191</v>
      </c>
      <c r="C13" s="11" t="n">
        <f aca="false">B14/B13</f>
        <v>0.978741406663141</v>
      </c>
      <c r="D13" s="16" t="s">
        <v>72</v>
      </c>
    </row>
    <row r="14" customFormat="false" ht="15" hidden="false" customHeight="false" outlineLevel="0" collapsed="false">
      <c r="A14" s="5" t="s">
        <v>46</v>
      </c>
      <c r="B14" s="13" t="n">
        <f aca="false">TablaVida!K16</f>
        <v>460707.600376748</v>
      </c>
      <c r="C14" s="11" t="n">
        <f aca="false">B15/B14</f>
        <v>0.967612044817927</v>
      </c>
      <c r="D14" s="16" t="s">
        <v>73</v>
      </c>
    </row>
    <row r="15" customFormat="false" ht="15" hidden="false" customHeight="false" outlineLevel="0" collapsed="false">
      <c r="A15" s="5" t="s">
        <v>47</v>
      </c>
      <c r="B15" s="13" t="n">
        <f aca="false">TablaVida!K17</f>
        <v>445786.223263706</v>
      </c>
      <c r="C15" s="11" t="n">
        <f aca="false">B16/B15</f>
        <v>0.950357885015008</v>
      </c>
      <c r="D15" s="16" t="s">
        <v>74</v>
      </c>
    </row>
    <row r="16" customFormat="false" ht="15" hidden="false" customHeight="false" outlineLevel="0" collapsed="false">
      <c r="A16" s="5" t="s">
        <v>48</v>
      </c>
      <c r="B16" s="13" t="n">
        <f aca="false">TablaVida!K18</f>
        <v>423656.452309724</v>
      </c>
      <c r="C16" s="11" t="n">
        <f aca="false">B17/B16</f>
        <v>0.922675736961451</v>
      </c>
      <c r="D16" s="16" t="s">
        <v>75</v>
      </c>
    </row>
    <row r="17" customFormat="false" ht="15" hidden="false" customHeight="false" outlineLevel="0" collapsed="false">
      <c r="A17" s="5" t="s">
        <v>49</v>
      </c>
      <c r="B17" s="13" t="n">
        <f aca="false">TablaVida!K19</f>
        <v>390897.529353348</v>
      </c>
      <c r="C17" s="11" t="n">
        <f aca="false">B18/B17</f>
        <v>0.877598152424942</v>
      </c>
      <c r="D17" s="16" t="s">
        <v>76</v>
      </c>
    </row>
    <row r="18" customFormat="false" ht="15" hidden="false" customHeight="false" outlineLevel="0" collapsed="false">
      <c r="A18" s="5" t="s">
        <v>50</v>
      </c>
      <c r="B18" s="13" t="n">
        <f aca="false">TablaVida!K20</f>
        <v>343050.949547973</v>
      </c>
      <c r="C18" s="11" t="n">
        <f aca="false">B19/B18</f>
        <v>0.806489141675284</v>
      </c>
      <c r="D18" s="16" t="s">
        <v>77</v>
      </c>
    </row>
    <row r="19" customFormat="false" ht="15" hidden="false" customHeight="false" outlineLevel="0" collapsed="false">
      <c r="A19" s="5" t="s">
        <v>51</v>
      </c>
      <c r="B19" s="13" t="n">
        <f aca="false">TablaVida!K21</f>
        <v>276666.865851836</v>
      </c>
      <c r="C19" s="11" t="n">
        <f aca="false">B20/B19</f>
        <v>0.703961584633854</v>
      </c>
      <c r="D19" s="16" t="s">
        <v>78</v>
      </c>
    </row>
    <row r="20" customFormat="false" ht="15" hidden="false" customHeight="false" outlineLevel="0" collapsed="false">
      <c r="A20" s="5" t="s">
        <v>52</v>
      </c>
      <c r="B20" s="13" t="n">
        <f aca="false">TablaVida!K22</f>
        <v>194762.84530074</v>
      </c>
      <c r="C20" s="11" t="n">
        <f aca="false">B21/(B20+B21)</f>
        <v>0.476923076923077</v>
      </c>
      <c r="D20" s="16" t="s">
        <v>79</v>
      </c>
    </row>
    <row r="21" customFormat="false" ht="15" hidden="false" customHeight="false" outlineLevel="0" collapsed="false">
      <c r="A21" s="5" t="s">
        <v>53</v>
      </c>
      <c r="B21" s="13" t="n">
        <f aca="false">TablaVida!K23</f>
        <v>177577.88836244</v>
      </c>
    </row>
    <row r="24" customFormat="false" ht="15" hidden="false" customHeight="false" outlineLevel="0" collapsed="false">
      <c r="A24" s="2" t="s">
        <v>80</v>
      </c>
      <c r="C24" s="17" t="n">
        <f aca="false">B4/(5*TablaVida!B2)</f>
        <v>0.9871941583277</v>
      </c>
      <c r="D24" s="16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2026-10-20T16:01:58Z</dcterms:created>
  <dc:creator>openpyxl</dc:creator>
  <dc:description/>
  <dc:language>en-US</dc:language>
  <cp:lastModifiedBy/>
  <dcterms:modified xsi:type="dcterms:W3CDTF">2026-10-20T16:01:58Z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