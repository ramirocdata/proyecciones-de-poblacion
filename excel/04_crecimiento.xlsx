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Datos" sheetId="2" state="visible" r:id="rId4"/>
    <sheet name="Tasas" sheetId="3" state="visible" r:id="rId5"/>
    <sheet name="Proyecc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<sst xmlns="http://schemas.openxmlformats.org/spreadsheetml/2006/main" count="62" uniqueCount="55">
  <si>
    <t xml:space="preserve">Sesión 4 · Modelos matemáticos de crecimiento</t>
  </si>
  <si>
    <t xml:space="preserve">Convención de colores</t>
  </si>
  <si>
    <t xml:space="preserve">Entrada</t>
  </si>
  <si>
    <t xml:space="preserve">Dato o supuesto: puede modificarse.</t>
  </si>
  <si>
    <t xml:space="preserve">Fórmula</t>
  </si>
  <si>
    <t xml:space="preserve">Cálculo: no sobrescribir con valores.</t>
  </si>
  <si>
    <t xml:space="preserve">Resultado</t>
  </si>
  <si>
    <t xml:space="preserve">Resultado clave del ejercicio.</t>
  </si>
  <si>
    <t xml:space="preserve">Pasos</t>
  </si>
  <si>
    <t xml:space="preserve">1.</t>
  </si>
  <si>
    <t xml:space="preserve">En la hoja 'Datos', revise (o reemplace) las poblaciones y años de los dos censos.</t>
  </si>
  <si>
    <t xml:space="preserve">2.</t>
  </si>
  <si>
    <t xml:space="preserve">En 'Tasas', siga el cálculo de la tasa de crecimiento con cada modelo y compárelas.</t>
  </si>
  <si>
    <t xml:space="preserve">3.</t>
  </si>
  <si>
    <t xml:space="preserve">En 'Tasas', observe la estimación intercensal y el tiempo de duplicación.</t>
  </si>
  <si>
    <t xml:space="preserve">4.</t>
  </si>
  <si>
    <t xml:space="preserve">En 'Proyeccion', cambie el año final y compare las trayectorias en el gráfico.</t>
  </si>
  <si>
    <t xml:space="preserve">5.</t>
  </si>
  <si>
    <t xml:space="preserve">Pregunta: ¿por qué los tres modelos dan el mismo resultado en el segundo censo y divergen después?</t>
  </si>
  <si>
    <t xml:space="preserve">Los datos de esta plantilla son FICTICIOS y tienen fines didácticos. Reemplácelos por datos oficiales (ver datos/README.md).</t>
  </si>
  <si>
    <t xml:space="preserve">Datos de base (municipio ficticio)</t>
  </si>
  <si>
    <t xml:space="preserve">Concepto</t>
  </si>
  <si>
    <t xml:space="preserve">Valor</t>
  </si>
  <si>
    <t xml:space="preserve">Año del censo 1</t>
  </si>
  <si>
    <t xml:space="preserve">Población censo 1</t>
  </si>
  <si>
    <t xml:space="preserve">Año del censo 2</t>
  </si>
  <si>
    <t xml:space="preserve">Población censo 2</t>
  </si>
  <si>
    <t xml:space="preserve">Fuente: datos ficticios. Para el taller, use poblaciones censales DANE (CNPV 2005 y 2018) de un municipio.</t>
  </si>
  <si>
    <t xml:space="preserve">Tasas de crecimiento entre censos</t>
  </si>
  <si>
    <t xml:space="preserve">Paso</t>
  </si>
  <si>
    <t xml:space="preserve">Fórmula en palabras</t>
  </si>
  <si>
    <t xml:space="preserve">Años transcurridos (n)</t>
  </si>
  <si>
    <t xml:space="preserve">año 2 − año 1</t>
  </si>
  <si>
    <t xml:space="preserve">Razón P2 / P1</t>
  </si>
  <si>
    <t xml:space="preserve">población final / inicial</t>
  </si>
  <si>
    <t xml:space="preserve">r aritmética</t>
  </si>
  <si>
    <t xml:space="preserve">(P2/P1 − 1) / n</t>
  </si>
  <si>
    <t xml:space="preserve">r geométrica</t>
  </si>
  <si>
    <t xml:space="preserve">(P2/P1)^(1/n) − 1</t>
  </si>
  <si>
    <t xml:space="preserve">r exponencial</t>
  </si>
  <si>
    <t xml:space="preserve">ln(P2/P1) / n</t>
  </si>
  <si>
    <t xml:space="preserve">Tiempo de duplicación (años)</t>
  </si>
  <si>
    <t xml:space="preserve">Aritmético</t>
  </si>
  <si>
    <t xml:space="preserve">1 / r</t>
  </si>
  <si>
    <t xml:space="preserve">Geométrico</t>
  </si>
  <si>
    <t xml:space="preserve">ln 2 / ln(1+r)</t>
  </si>
  <si>
    <t xml:space="preserve">Exponencial</t>
  </si>
  <si>
    <t xml:space="preserve">ln 2 / r</t>
  </si>
  <si>
    <t xml:space="preserve">Estimación intercensal</t>
  </si>
  <si>
    <t xml:space="preserve">Año a estimar</t>
  </si>
  <si>
    <t xml:space="preserve">Proyección con tres modelos</t>
  </si>
  <si>
    <t xml:space="preserve">Año base (censo 2):</t>
  </si>
  <si>
    <t xml:space="preserve">Año</t>
  </si>
  <si>
    <t xml:space="preserve">t − año base</t>
  </si>
  <si>
    <t xml:space="preserve">Dif. exp − arit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</si>
</sst>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#,##0"/>
    <numFmt numFmtId="167" formatCode="0.0000"/>
    <numFmt numFmtId="168" formatCode="0.000%"/>
    <numFmt numFmtId="169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8B855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Población proyectada según modelo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Proyeccion!C4</c:f>
              <c:strCache>
                <c:ptCount val="1"/>
                <c:pt idx="0">
                  <c:v>Aritmético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Proyeccion!$A$5:$A$37</c:f>
              <c:strCach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strCache>
            </c:strRef>
          </c:cat>
          <c:val>
            <c:numRef>
              <c:f>Proyeccion!$C$5:$C$37</c:f>
              <c:numCache>
                <c:formatCode>#,##0</c:formatCode>
                <c:ptCount val="33"/>
                <c:pt idx="0">
                  <c:v>48000</c:v>
                </c:pt>
                <c:pt idx="1">
                  <c:v>48738.4615384615</c:v>
                </c:pt>
                <c:pt idx="2">
                  <c:v>49476.9230769231</c:v>
                </c:pt>
                <c:pt idx="3">
                  <c:v>50215.3846153846</c:v>
                </c:pt>
                <c:pt idx="4">
                  <c:v>50953.8461538462</c:v>
                </c:pt>
                <c:pt idx="5">
                  <c:v>51692.3076923077</c:v>
                </c:pt>
                <c:pt idx="6">
                  <c:v>52430.7692307692</c:v>
                </c:pt>
                <c:pt idx="7">
                  <c:v>53169.2307692308</c:v>
                </c:pt>
                <c:pt idx="8">
                  <c:v>53907.6923076923</c:v>
                </c:pt>
                <c:pt idx="9">
                  <c:v>54646.1538461538</c:v>
                </c:pt>
                <c:pt idx="10">
                  <c:v>55384.6153846154</c:v>
                </c:pt>
                <c:pt idx="11">
                  <c:v>56123.0769230769</c:v>
                </c:pt>
                <c:pt idx="12">
                  <c:v>56861.5384615385</c:v>
                </c:pt>
                <c:pt idx="13">
                  <c:v>57600</c:v>
                </c:pt>
                <c:pt idx="14">
                  <c:v>58338.4615384615</c:v>
                </c:pt>
                <c:pt idx="15">
                  <c:v>59076.9230769231</c:v>
                </c:pt>
                <c:pt idx="16">
                  <c:v>59815.3846153846</c:v>
                </c:pt>
                <c:pt idx="17">
                  <c:v>60553.8461538462</c:v>
                </c:pt>
                <c:pt idx="18">
                  <c:v>61292.3076923077</c:v>
                </c:pt>
                <c:pt idx="19">
                  <c:v>62030.7692307692</c:v>
                </c:pt>
                <c:pt idx="20">
                  <c:v>62769.2307692308</c:v>
                </c:pt>
                <c:pt idx="21">
                  <c:v>63507.6923076923</c:v>
                </c:pt>
                <c:pt idx="22">
                  <c:v>64246.1538461538</c:v>
                </c:pt>
                <c:pt idx="23">
                  <c:v>64984.6153846154</c:v>
                </c:pt>
                <c:pt idx="24">
                  <c:v>65723.0769230769</c:v>
                </c:pt>
                <c:pt idx="25">
                  <c:v>66461.5384615385</c:v>
                </c:pt>
                <c:pt idx="26">
                  <c:v>67200</c:v>
                </c:pt>
                <c:pt idx="27">
                  <c:v>67938.4615384615</c:v>
                </c:pt>
                <c:pt idx="28">
                  <c:v>68676.9230769231</c:v>
                </c:pt>
                <c:pt idx="29">
                  <c:v>69415.3846153846</c:v>
                </c:pt>
                <c:pt idx="30">
                  <c:v>70153.8461538462</c:v>
                </c:pt>
                <c:pt idx="31">
                  <c:v>70892.3076923077</c:v>
                </c:pt>
                <c:pt idx="32">
                  <c:v>71630.7692307692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Proyeccion!D4</c:f>
              <c:strCache>
                <c:ptCount val="1"/>
                <c:pt idx="0">
                  <c:v>Geométrico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Proyeccion!$A$5:$A$37</c:f>
              <c:strCach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strCache>
            </c:strRef>
          </c:cat>
          <c:val>
            <c:numRef>
              <c:f>Proyeccion!$D$5:$D$37</c:f>
              <c:numCache>
                <c:formatCode>#,##0</c:formatCode>
                <c:ptCount val="33"/>
                <c:pt idx="0">
                  <c:v>48000</c:v>
                </c:pt>
                <c:pt idx="1">
                  <c:v>48677.9300694742</c:v>
                </c:pt>
                <c:pt idx="2">
                  <c:v>49365.4349135129</c:v>
                </c:pt>
                <c:pt idx="3">
                  <c:v>50062.6497618575</c:v>
                </c:pt>
                <c:pt idx="4">
                  <c:v>50769.7117541724</c:v>
                </c:pt>
                <c:pt idx="5">
                  <c:v>51486.7599670201</c:v>
                </c:pt>
                <c:pt idx="6">
                  <c:v>52213.9354412168</c:v>
                </c:pt>
                <c:pt idx="7">
                  <c:v>52951.3812095748</c:v>
                </c:pt>
                <c:pt idx="8">
                  <c:v>53699.2423250365</c:v>
                </c:pt>
                <c:pt idx="9">
                  <c:v>54457.6658892057</c:v>
                </c:pt>
                <c:pt idx="10">
                  <c:v>55226.8010812821</c:v>
                </c:pt>
                <c:pt idx="11">
                  <c:v>56006.7991874044</c:v>
                </c:pt>
                <c:pt idx="12">
                  <c:v>56797.8136304074</c:v>
                </c:pt>
                <c:pt idx="13">
                  <c:v>57600</c:v>
                </c:pt>
                <c:pt idx="14">
                  <c:v>58413.516083369</c:v>
                </c:pt>
                <c:pt idx="15">
                  <c:v>59238.5218962154</c:v>
                </c:pt>
                <c:pt idx="16">
                  <c:v>60075.1797142289</c:v>
                </c:pt>
                <c:pt idx="17">
                  <c:v>60923.6541050068</c:v>
                </c:pt>
                <c:pt idx="18">
                  <c:v>61784.1119604241</c:v>
                </c:pt>
                <c:pt idx="19">
                  <c:v>62656.7225294601</c:v>
                </c:pt>
                <c:pt idx="20">
                  <c:v>63541.6574514897</c:v>
                </c:pt>
                <c:pt idx="21">
                  <c:v>64439.0907900437</c:v>
                </c:pt>
                <c:pt idx="22">
                  <c:v>65349.1990670468</c:v>
                </c:pt>
                <c:pt idx="23">
                  <c:v>66272.1612975385</c:v>
                </c:pt>
                <c:pt idx="24">
                  <c:v>67208.1590248853</c:v>
                </c:pt>
                <c:pt idx="25">
                  <c:v>68157.3763564888</c:v>
                </c:pt>
                <c:pt idx="26">
                  <c:v>69119.9999999999</c:v>
                </c:pt>
                <c:pt idx="27">
                  <c:v>70096.2193000427</c:v>
                </c:pt>
                <c:pt idx="28">
                  <c:v>71086.2262754584</c:v>
                </c:pt>
                <c:pt idx="29">
                  <c:v>72090.2156570746</c:v>
                </c:pt>
                <c:pt idx="30">
                  <c:v>73108.3849260082</c:v>
                </c:pt>
                <c:pt idx="31">
                  <c:v>74140.9343525088</c:v>
                </c:pt>
                <c:pt idx="32">
                  <c:v>75188.0670353521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Proyeccion!E4</c:f>
              <c:strCache>
                <c:ptCount val="1"/>
                <c:pt idx="0">
                  <c:v>Exponencial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Proyeccion!$A$5:$A$37</c:f>
              <c:strCach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strCache>
            </c:strRef>
          </c:cat>
          <c:val>
            <c:numRef>
              <c:f>Proyeccion!$E$5:$E$37</c:f>
              <c:numCache>
                <c:formatCode>#,##0</c:formatCode>
                <c:ptCount val="33"/>
                <c:pt idx="0">
                  <c:v>48000</c:v>
                </c:pt>
                <c:pt idx="1">
                  <c:v>48677.9300694742</c:v>
                </c:pt>
                <c:pt idx="2">
                  <c:v>49365.4349135129</c:v>
                </c:pt>
                <c:pt idx="3">
                  <c:v>50062.6497618575</c:v>
                </c:pt>
                <c:pt idx="4">
                  <c:v>50769.7117541724</c:v>
                </c:pt>
                <c:pt idx="5">
                  <c:v>51486.7599670201</c:v>
                </c:pt>
                <c:pt idx="6">
                  <c:v>52213.9354412168</c:v>
                </c:pt>
                <c:pt idx="7">
                  <c:v>52951.3812095748</c:v>
                </c:pt>
                <c:pt idx="8">
                  <c:v>53699.2423250365</c:v>
                </c:pt>
                <c:pt idx="9">
                  <c:v>54457.6658892057</c:v>
                </c:pt>
                <c:pt idx="10">
                  <c:v>55226.8010812822</c:v>
                </c:pt>
                <c:pt idx="11">
                  <c:v>56006.7991874045</c:v>
                </c:pt>
                <c:pt idx="12">
                  <c:v>56797.8136304074</c:v>
                </c:pt>
                <c:pt idx="13">
                  <c:v>57600</c:v>
                </c:pt>
                <c:pt idx="14">
                  <c:v>58413.516083369</c:v>
                </c:pt>
                <c:pt idx="15">
                  <c:v>59238.5218962154</c:v>
                </c:pt>
                <c:pt idx="16">
                  <c:v>60075.1797142289</c:v>
                </c:pt>
                <c:pt idx="17">
                  <c:v>60923.6541050069</c:v>
                </c:pt>
                <c:pt idx="18">
                  <c:v>61784.1119604241</c:v>
                </c:pt>
                <c:pt idx="19">
                  <c:v>62656.7225294602</c:v>
                </c:pt>
                <c:pt idx="20">
                  <c:v>63541.6574514898</c:v>
                </c:pt>
                <c:pt idx="21">
                  <c:v>64439.0907900438</c:v>
                </c:pt>
                <c:pt idx="22">
                  <c:v>65349.1990670468</c:v>
                </c:pt>
                <c:pt idx="23">
                  <c:v>66272.1612975386</c:v>
                </c:pt>
                <c:pt idx="24">
                  <c:v>67208.1590248854</c:v>
                </c:pt>
                <c:pt idx="25">
                  <c:v>68157.3763564889</c:v>
                </c:pt>
                <c:pt idx="26">
                  <c:v>69120</c:v>
                </c:pt>
                <c:pt idx="27">
                  <c:v>70096.2193000428</c:v>
                </c:pt>
                <c:pt idx="28">
                  <c:v>71086.2262754585</c:v>
                </c:pt>
                <c:pt idx="29">
                  <c:v>72090.2156570748</c:v>
                </c:pt>
                <c:pt idx="30">
                  <c:v>73108.3849260083</c:v>
                </c:pt>
                <c:pt idx="31">
                  <c:v>74140.934352509</c:v>
                </c:pt>
                <c:pt idx="32">
                  <c:v>75188.0670353522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1189036"/>
        <c:axId val="26410589"/>
      </c:lineChart>
      <c:catAx>
        <c:axId val="711890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Año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410589"/>
        <c:crosses val="autoZero"/>
        <c:auto val="1"/>
        <c:lblAlgn val="ctr"/>
        <c:lblOffset val="100"/>
        <c:noMultiLvlLbl val="0"/>
      </c:catAx>
      <c:valAx>
        <c:axId val="264105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Habitantes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1890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160920</xdr:rowOff>
    </xdr:from>
    <xdr:to>
      <xdr:col>17</xdr:col>
      <xdr:colOff>364680</xdr:colOff>
      <xdr:row>19</xdr:row>
      <xdr:rowOff>162000</xdr:rowOff>
    </xdr:to>
    <xdr:graphicFrame>
      <xdr:nvGraphicFramePr>
        <xdr:cNvPr id="0" name="Chart 1"/>
        <xdr:cNvGraphicFramePr/>
      </xdr:nvGraphicFramePr>
      <xdr:xfrm>
        <a:off x="6532200" y="571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5" t="s">
        <v>4</v>
      </c>
      <c r="B5" s="4" t="s">
        <v>5</v>
      </c>
    </row>
    <row r="6" customFormat="false" ht="15" hidden="false" customHeight="false" outlineLevel="0" collapsed="false">
      <c r="A6" s="6" t="s">
        <v>6</v>
      </c>
      <c r="B6" s="4" t="s">
        <v>7</v>
      </c>
    </row>
    <row r="8" customFormat="false" ht="15" hidden="false" customHeight="false" outlineLevel="0" collapsed="false">
      <c r="A8" s="2" t="s">
        <v>8</v>
      </c>
    </row>
    <row r="9" customFormat="false" ht="15" hidden="false" customHeight="false" outlineLevel="0" collapsed="false">
      <c r="A9" s="4" t="s">
        <v>9</v>
      </c>
      <c r="B9" s="4" t="s">
        <v>10</v>
      </c>
    </row>
    <row r="10" customFormat="false" ht="15" hidden="false" customHeight="false" outlineLevel="0" collapsed="false">
      <c r="A10" s="4" t="s">
        <v>11</v>
      </c>
      <c r="B10" s="4" t="s">
        <v>12</v>
      </c>
    </row>
    <row r="11" customFormat="false" ht="15" hidden="false" customHeight="false" outlineLevel="0" collapsed="false">
      <c r="A11" s="4" t="s">
        <v>13</v>
      </c>
      <c r="B11" s="4" t="s">
        <v>14</v>
      </c>
    </row>
    <row r="12" customFormat="false" ht="15" hidden="false" customHeight="false" outlineLevel="0" collapsed="false">
      <c r="A12" s="4" t="s">
        <v>15</v>
      </c>
      <c r="B12" s="4" t="s">
        <v>16</v>
      </c>
    </row>
    <row r="13" customFormat="false" ht="15" hidden="false" customHeight="false" outlineLevel="0" collapsed="false">
      <c r="A13" s="4" t="s">
        <v>17</v>
      </c>
      <c r="B13" s="4" t="s">
        <v>18</v>
      </c>
    </row>
    <row r="15" customFormat="false" ht="15" hidden="false" customHeight="false" outlineLevel="0" collapsed="false">
      <c r="A15" s="7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20</v>
      </c>
    </row>
    <row r="3" customFormat="false" ht="15" hidden="false" customHeight="false" outlineLevel="0" collapsed="false">
      <c r="A3" s="8" t="s">
        <v>21</v>
      </c>
      <c r="B3" s="8" t="s">
        <v>22</v>
      </c>
    </row>
    <row r="4" customFormat="false" ht="15" hidden="false" customHeight="false" outlineLevel="0" collapsed="false">
      <c r="A4" s="4" t="s">
        <v>23</v>
      </c>
      <c r="B4" s="9" t="n">
        <v>2005</v>
      </c>
    </row>
    <row r="5" customFormat="false" ht="15" hidden="false" customHeight="false" outlineLevel="0" collapsed="false">
      <c r="A5" s="4" t="s">
        <v>24</v>
      </c>
      <c r="B5" s="10" t="n">
        <v>40000</v>
      </c>
    </row>
    <row r="6" customFormat="false" ht="15" hidden="false" customHeight="false" outlineLevel="0" collapsed="false">
      <c r="A6" s="4" t="s">
        <v>25</v>
      </c>
      <c r="B6" s="9" t="n">
        <v>2018</v>
      </c>
    </row>
    <row r="7" customFormat="false" ht="15" hidden="false" customHeight="false" outlineLevel="0" collapsed="false">
      <c r="A7" s="4" t="s">
        <v>26</v>
      </c>
      <c r="B7" s="10" t="n">
        <v>48000</v>
      </c>
    </row>
    <row r="9" customFormat="false" ht="15" hidden="false" customHeight="false" outlineLevel="0" collapsed="false">
      <c r="A9" s="7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28"/>
  </cols>
  <sheetData>
    <row r="1" customFormat="false" ht="17.35" hidden="false" customHeight="false" outlineLevel="0" collapsed="false">
      <c r="A1" s="1" t="s">
        <v>28</v>
      </c>
    </row>
    <row r="3" customFormat="false" ht="15" hidden="false" customHeight="false" outlineLevel="0" collapsed="false">
      <c r="A3" s="8" t="s">
        <v>29</v>
      </c>
      <c r="B3" s="8" t="s">
        <v>22</v>
      </c>
      <c r="C3" s="8" t="s">
        <v>30</v>
      </c>
    </row>
    <row r="4" customFormat="false" ht="15" hidden="false" customHeight="false" outlineLevel="0" collapsed="false">
      <c r="A4" s="4" t="s">
        <v>31</v>
      </c>
      <c r="B4" s="11" t="n">
        <f aca="false">Datos!B6-Datos!B4</f>
        <v>13</v>
      </c>
      <c r="C4" s="12" t="s">
        <v>32</v>
      </c>
    </row>
    <row r="5" customFormat="false" ht="15" hidden="false" customHeight="false" outlineLevel="0" collapsed="false">
      <c r="A5" s="4" t="s">
        <v>33</v>
      </c>
      <c r="B5" s="13" t="n">
        <f aca="false">Datos!B7/Datos!B5</f>
        <v>1.2</v>
      </c>
      <c r="C5" s="12" t="s">
        <v>34</v>
      </c>
    </row>
    <row r="6" customFormat="false" ht="15" hidden="false" customHeight="false" outlineLevel="0" collapsed="false">
      <c r="A6" s="4" t="s">
        <v>35</v>
      </c>
      <c r="B6" s="14" t="n">
        <f aca="false">(B5-1)/B4</f>
        <v>0.0153846153846154</v>
      </c>
      <c r="C6" s="12" t="s">
        <v>36</v>
      </c>
    </row>
    <row r="7" customFormat="false" ht="15" hidden="false" customHeight="false" outlineLevel="0" collapsed="false">
      <c r="A7" s="4" t="s">
        <v>37</v>
      </c>
      <c r="B7" s="14" t="n">
        <f aca="false">B5^(1/B4)-1</f>
        <v>0.0141235431140452</v>
      </c>
      <c r="C7" s="12" t="s">
        <v>38</v>
      </c>
    </row>
    <row r="8" customFormat="false" ht="15" hidden="false" customHeight="false" outlineLevel="0" collapsed="false">
      <c r="A8" s="4" t="s">
        <v>39</v>
      </c>
      <c r="B8" s="14" t="n">
        <f aca="false">LN(B5)/B4</f>
        <v>0.0140247351379965</v>
      </c>
      <c r="C8" s="12" t="s">
        <v>40</v>
      </c>
    </row>
    <row r="10" customFormat="false" ht="15" hidden="false" customHeight="false" outlineLevel="0" collapsed="false">
      <c r="A10" s="2" t="s">
        <v>41</v>
      </c>
    </row>
    <row r="11" customFormat="false" ht="15" hidden="false" customHeight="false" outlineLevel="0" collapsed="false">
      <c r="A11" s="4" t="s">
        <v>42</v>
      </c>
      <c r="B11" s="15" t="n">
        <f aca="false">1/B6</f>
        <v>65</v>
      </c>
      <c r="C11" s="12" t="s">
        <v>43</v>
      </c>
    </row>
    <row r="12" customFormat="false" ht="15" hidden="false" customHeight="false" outlineLevel="0" collapsed="false">
      <c r="A12" s="4" t="s">
        <v>44</v>
      </c>
      <c r="B12" s="15" t="n">
        <f aca="false">LN(2)/LN(1+B7)</f>
        <v>49.4231922200113</v>
      </c>
      <c r="C12" s="12" t="s">
        <v>45</v>
      </c>
    </row>
    <row r="13" customFormat="false" ht="15" hidden="false" customHeight="false" outlineLevel="0" collapsed="false">
      <c r="A13" s="4" t="s">
        <v>46</v>
      </c>
      <c r="B13" s="15" t="n">
        <f aca="false">LN(2)/B8</f>
        <v>49.4231922200111</v>
      </c>
      <c r="C13" s="12" t="s">
        <v>47</v>
      </c>
    </row>
    <row r="15" customFormat="false" ht="15" hidden="false" customHeight="false" outlineLevel="0" collapsed="false">
      <c r="A15" s="2" t="s">
        <v>48</v>
      </c>
    </row>
    <row r="16" customFormat="false" ht="15" hidden="false" customHeight="false" outlineLevel="0" collapsed="false">
      <c r="A16" s="4" t="s">
        <v>49</v>
      </c>
      <c r="B16" s="9" t="n">
        <v>2010</v>
      </c>
    </row>
    <row r="17" customFormat="false" ht="15" hidden="false" customHeight="false" outlineLevel="0" collapsed="false">
      <c r="A17" s="4" t="s">
        <v>42</v>
      </c>
      <c r="B17" s="16" t="n">
        <f aca="false">Datos!B5*(1+B6*(B16-Datos!B4))</f>
        <v>43076.9230769231</v>
      </c>
    </row>
    <row r="18" customFormat="false" ht="15" hidden="false" customHeight="false" outlineLevel="0" collapsed="false">
      <c r="A18" s="4" t="s">
        <v>44</v>
      </c>
      <c r="B18" s="16" t="n">
        <f aca="false">Datos!B5*(1+B7)^(B16-Datos!B4)</f>
        <v>42905.6333058501</v>
      </c>
    </row>
    <row r="19" customFormat="false" ht="15" hidden="false" customHeight="false" outlineLevel="0" collapsed="false">
      <c r="A19" s="4" t="s">
        <v>46</v>
      </c>
      <c r="B19" s="16" t="n">
        <f aca="false">Datos!B5*EXP(B8*(B16-Datos!B4))</f>
        <v>42905.6333058501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4"/>
  </cols>
  <sheetData>
    <row r="1" customFormat="false" ht="17.35" hidden="false" customHeight="false" outlineLevel="0" collapsed="false">
      <c r="A1" s="1" t="s">
        <v>50</v>
      </c>
    </row>
    <row r="2" customFormat="false" ht="15" hidden="false" customHeight="false" outlineLevel="0" collapsed="false">
      <c r="A2" s="4" t="s">
        <v>51</v>
      </c>
      <c r="B2" s="11" t="n">
        <f aca="false">Datos!B6</f>
        <v>2018</v>
      </c>
    </row>
    <row r="4" customFormat="false" ht="15" hidden="false" customHeight="false" outlineLevel="0" collapsed="false">
      <c r="A4" s="8" t="s">
        <v>52</v>
      </c>
      <c r="B4" s="8" t="s">
        <v>53</v>
      </c>
      <c r="C4" s="8" t="s">
        <v>42</v>
      </c>
      <c r="D4" s="8" t="s">
        <v>44</v>
      </c>
      <c r="E4" s="8" t="s">
        <v>46</v>
      </c>
      <c r="F4" s="8" t="s">
        <v>54</v>
      </c>
    </row>
    <row r="5" customFormat="false" ht="15" hidden="false" customHeight="false" outlineLevel="0" collapsed="false">
      <c r="A5" s="11" t="n">
        <f aca="false">B2</f>
        <v>2018</v>
      </c>
      <c r="B5" s="11" t="n">
        <f aca="false">A5-$B$2</f>
        <v>0</v>
      </c>
      <c r="C5" s="16" t="n">
        <f aca="false">Datos!$B$7*(1+Tasas!$B$6*B5)</f>
        <v>48000</v>
      </c>
      <c r="D5" s="16" t="n">
        <f aca="false">Datos!$B$7*(1+Tasas!$B$7)^B5</f>
        <v>48000</v>
      </c>
      <c r="E5" s="16" t="n">
        <f aca="false">Datos!$B$7*EXP(Tasas!$B$8*B5)</f>
        <v>48000</v>
      </c>
      <c r="F5" s="16" t="n">
        <f aca="false">E5-C5</f>
        <v>0</v>
      </c>
    </row>
    <row r="6" customFormat="false" ht="15" hidden="false" customHeight="false" outlineLevel="0" collapsed="false">
      <c r="A6" s="11" t="n">
        <f aca="false">A5+1</f>
        <v>2019</v>
      </c>
      <c r="B6" s="11" t="n">
        <f aca="false">A6-$B$2</f>
        <v>1</v>
      </c>
      <c r="C6" s="16" t="n">
        <f aca="false">Datos!$B$7*(1+Tasas!$B$6*B6)</f>
        <v>48738.4615384615</v>
      </c>
      <c r="D6" s="16" t="n">
        <f aca="false">Datos!$B$7*(1+Tasas!$B$7)^B6</f>
        <v>48677.9300694742</v>
      </c>
      <c r="E6" s="16" t="n">
        <f aca="false">Datos!$B$7*EXP(Tasas!$B$8*B6)</f>
        <v>48677.9300694742</v>
      </c>
      <c r="F6" s="16" t="n">
        <f aca="false">E6-C6</f>
        <v>-60.5314689873703</v>
      </c>
    </row>
    <row r="7" customFormat="false" ht="15" hidden="false" customHeight="false" outlineLevel="0" collapsed="false">
      <c r="A7" s="11" t="n">
        <f aca="false">A6+1</f>
        <v>2020</v>
      </c>
      <c r="B7" s="11" t="n">
        <f aca="false">A7-$B$2</f>
        <v>2</v>
      </c>
      <c r="C7" s="16" t="n">
        <f aca="false">Datos!$B$7*(1+Tasas!$B$6*B7)</f>
        <v>49476.9230769231</v>
      </c>
      <c r="D7" s="16" t="n">
        <f aca="false">Datos!$B$7*(1+Tasas!$B$7)^B7</f>
        <v>49365.4349135129</v>
      </c>
      <c r="E7" s="16" t="n">
        <f aca="false">Datos!$B$7*EXP(Tasas!$B$8*B7)</f>
        <v>49365.4349135129</v>
      </c>
      <c r="F7" s="16" t="n">
        <f aca="false">E7-C7</f>
        <v>-111.488163410206</v>
      </c>
    </row>
    <row r="8" customFormat="false" ht="15" hidden="false" customHeight="false" outlineLevel="0" collapsed="false">
      <c r="A8" s="11" t="n">
        <f aca="false">A7+1</f>
        <v>2021</v>
      </c>
      <c r="B8" s="11" t="n">
        <f aca="false">A8-$B$2</f>
        <v>3</v>
      </c>
      <c r="C8" s="16" t="n">
        <f aca="false">Datos!$B$7*(1+Tasas!$B$6*B8)</f>
        <v>50215.3846153846</v>
      </c>
      <c r="D8" s="16" t="n">
        <f aca="false">Datos!$B$7*(1+Tasas!$B$7)^B8</f>
        <v>50062.6497618575</v>
      </c>
      <c r="E8" s="16" t="n">
        <f aca="false">Datos!$B$7*EXP(Tasas!$B$8*B8)</f>
        <v>50062.6497618575</v>
      </c>
      <c r="F8" s="16" t="n">
        <f aca="false">E8-C8</f>
        <v>-152.734853527152</v>
      </c>
    </row>
    <row r="9" customFormat="false" ht="15" hidden="false" customHeight="false" outlineLevel="0" collapsed="false">
      <c r="A9" s="11" t="n">
        <f aca="false">A8+1</f>
        <v>2022</v>
      </c>
      <c r="B9" s="11" t="n">
        <f aca="false">A9-$B$2</f>
        <v>4</v>
      </c>
      <c r="C9" s="16" t="n">
        <f aca="false">Datos!$B$7*(1+Tasas!$B$6*B9)</f>
        <v>50953.8461538462</v>
      </c>
      <c r="D9" s="16" t="n">
        <f aca="false">Datos!$B$7*(1+Tasas!$B$7)^B9</f>
        <v>50769.7117541724</v>
      </c>
      <c r="E9" s="16" t="n">
        <f aca="false">Datos!$B$7*EXP(Tasas!$B$8*B9)</f>
        <v>50769.7117541724</v>
      </c>
      <c r="F9" s="16" t="n">
        <f aca="false">E9-C9</f>
        <v>-184.134399673749</v>
      </c>
    </row>
    <row r="10" customFormat="false" ht="15" hidden="false" customHeight="false" outlineLevel="0" collapsed="false">
      <c r="A10" s="11" t="n">
        <f aca="false">A9+1</f>
        <v>2023</v>
      </c>
      <c r="B10" s="11" t="n">
        <f aca="false">A10-$B$2</f>
        <v>5</v>
      </c>
      <c r="C10" s="16" t="n">
        <f aca="false">Datos!$B$7*(1+Tasas!$B$6*B10)</f>
        <v>51692.3076923077</v>
      </c>
      <c r="D10" s="16" t="n">
        <f aca="false">Datos!$B$7*(1+Tasas!$B$7)^B10</f>
        <v>51486.7599670201</v>
      </c>
      <c r="E10" s="16" t="n">
        <f aca="false">Datos!$B$7*EXP(Tasas!$B$8*B10)</f>
        <v>51486.7599670201</v>
      </c>
      <c r="F10" s="16" t="n">
        <f aca="false">E10-C10</f>
        <v>-205.547725287579</v>
      </c>
    </row>
    <row r="11" customFormat="false" ht="15" hidden="false" customHeight="false" outlineLevel="0" collapsed="false">
      <c r="A11" s="11" t="n">
        <f aca="false">A10+1</f>
        <v>2024</v>
      </c>
      <c r="B11" s="11" t="n">
        <f aca="false">A11-$B$2</f>
        <v>6</v>
      </c>
      <c r="C11" s="16" t="n">
        <f aca="false">Datos!$B$7*(1+Tasas!$B$6*B11)</f>
        <v>52430.7692307692</v>
      </c>
      <c r="D11" s="16" t="n">
        <f aca="false">Datos!$B$7*(1+Tasas!$B$7)^B11</f>
        <v>52213.9354412168</v>
      </c>
      <c r="E11" s="16" t="n">
        <f aca="false">Datos!$B$7*EXP(Tasas!$B$8*B11)</f>
        <v>52213.9354412168</v>
      </c>
      <c r="F11" s="16" t="n">
        <f aca="false">E11-C11</f>
        <v>-216.833789552416</v>
      </c>
    </row>
    <row r="12" customFormat="false" ht="15" hidden="false" customHeight="false" outlineLevel="0" collapsed="false">
      <c r="A12" s="11" t="n">
        <f aca="false">A11+1</f>
        <v>2025</v>
      </c>
      <c r="B12" s="11" t="n">
        <f aca="false">A12-$B$2</f>
        <v>7</v>
      </c>
      <c r="C12" s="16" t="n">
        <f aca="false">Datos!$B$7*(1+Tasas!$B$6*B12)</f>
        <v>53169.2307692308</v>
      </c>
      <c r="D12" s="16" t="n">
        <f aca="false">Datos!$B$7*(1+Tasas!$B$7)^B12</f>
        <v>52951.3812095748</v>
      </c>
      <c r="E12" s="16" t="n">
        <f aca="false">Datos!$B$7*EXP(Tasas!$B$8*B12)</f>
        <v>52951.3812095748</v>
      </c>
      <c r="F12" s="16" t="n">
        <f aca="false">E12-C12</f>
        <v>-217.849559655966</v>
      </c>
    </row>
    <row r="13" customFormat="false" ht="15" hidden="false" customHeight="false" outlineLevel="0" collapsed="false">
      <c r="A13" s="11" t="n">
        <f aca="false">A12+1</f>
        <v>2026</v>
      </c>
      <c r="B13" s="11" t="n">
        <f aca="false">A13-$B$2</f>
        <v>8</v>
      </c>
      <c r="C13" s="16" t="n">
        <f aca="false">Datos!$B$7*(1+Tasas!$B$6*B13)</f>
        <v>53907.6923076923</v>
      </c>
      <c r="D13" s="16" t="n">
        <f aca="false">Datos!$B$7*(1+Tasas!$B$7)^B13</f>
        <v>53699.2423250365</v>
      </c>
      <c r="E13" s="16" t="n">
        <f aca="false">Datos!$B$7*EXP(Tasas!$B$8*B13)</f>
        <v>53699.2423250365</v>
      </c>
      <c r="F13" s="16" t="n">
        <f aca="false">E13-C13</f>
        <v>-208.449982655824</v>
      </c>
    </row>
    <row r="14" customFormat="false" ht="15" hidden="false" customHeight="false" outlineLevel="0" collapsed="false">
      <c r="A14" s="11" t="n">
        <f aca="false">A13+1</f>
        <v>2027</v>
      </c>
      <c r="B14" s="11" t="n">
        <f aca="false">A14-$B$2</f>
        <v>9</v>
      </c>
      <c r="C14" s="16" t="n">
        <f aca="false">Datos!$B$7*(1+Tasas!$B$6*B14)</f>
        <v>54646.1538461538</v>
      </c>
      <c r="D14" s="16" t="n">
        <f aca="false">Datos!$B$7*(1+Tasas!$B$7)^B14</f>
        <v>54457.6658892057</v>
      </c>
      <c r="E14" s="16" t="n">
        <f aca="false">Datos!$B$7*EXP(Tasas!$B$8*B14)</f>
        <v>54457.6658892057</v>
      </c>
      <c r="F14" s="16" t="n">
        <f aca="false">E14-C14</f>
        <v>-188.487956948142</v>
      </c>
    </row>
    <row r="15" customFormat="false" ht="15" hidden="false" customHeight="false" outlineLevel="0" collapsed="false">
      <c r="A15" s="11" t="n">
        <f aca="false">A14+1</f>
        <v>2028</v>
      </c>
      <c r="B15" s="11" t="n">
        <f aca="false">A15-$B$2</f>
        <v>10</v>
      </c>
      <c r="C15" s="16" t="n">
        <f aca="false">Datos!$B$7*(1+Tasas!$B$6*B15)</f>
        <v>55384.6153846154</v>
      </c>
      <c r="D15" s="16" t="n">
        <f aca="false">Datos!$B$7*(1+Tasas!$B$7)^B15</f>
        <v>55226.8010812821</v>
      </c>
      <c r="E15" s="16" t="n">
        <f aca="false">Datos!$B$7*EXP(Tasas!$B$8*B15)</f>
        <v>55226.8010812822</v>
      </c>
      <c r="F15" s="16" t="n">
        <f aca="false">E15-C15</f>
        <v>-157.814303333216</v>
      </c>
    </row>
    <row r="16" customFormat="false" ht="15" hidden="false" customHeight="false" outlineLevel="0" collapsed="false">
      <c r="A16" s="11" t="n">
        <f aca="false">A15+1</f>
        <v>2029</v>
      </c>
      <c r="B16" s="11" t="n">
        <f aca="false">A16-$B$2</f>
        <v>11</v>
      </c>
      <c r="C16" s="16" t="n">
        <f aca="false">Datos!$B$7*(1+Tasas!$B$6*B16)</f>
        <v>56123.0769230769</v>
      </c>
      <c r="D16" s="16" t="n">
        <f aca="false">Datos!$B$7*(1+Tasas!$B$7)^B16</f>
        <v>56006.7991874044</v>
      </c>
      <c r="E16" s="16" t="n">
        <f aca="false">Datos!$B$7*EXP(Tasas!$B$8*B16)</f>
        <v>56006.7991874045</v>
      </c>
      <c r="F16" s="16" t="n">
        <f aca="false">E16-C16</f>
        <v>-116.277735672469</v>
      </c>
    </row>
    <row r="17" customFormat="false" ht="15" hidden="false" customHeight="false" outlineLevel="0" collapsed="false">
      <c r="A17" s="11" t="n">
        <f aca="false">A16+1</f>
        <v>2030</v>
      </c>
      <c r="B17" s="11" t="n">
        <f aca="false">A17-$B$2</f>
        <v>12</v>
      </c>
      <c r="C17" s="16" t="n">
        <f aca="false">Datos!$B$7*(1+Tasas!$B$6*B17)</f>
        <v>56861.5384615385</v>
      </c>
      <c r="D17" s="16" t="n">
        <f aca="false">Datos!$B$7*(1+Tasas!$B$7)^B17</f>
        <v>56797.8136304074</v>
      </c>
      <c r="E17" s="16" t="n">
        <f aca="false">Datos!$B$7*EXP(Tasas!$B$8*B17)</f>
        <v>56797.8136304074</v>
      </c>
      <c r="F17" s="16" t="n">
        <f aca="false">E17-C17</f>
        <v>-63.7248311310323</v>
      </c>
    </row>
    <row r="18" customFormat="false" ht="15" hidden="false" customHeight="false" outlineLevel="0" collapsed="false">
      <c r="A18" s="11" t="n">
        <f aca="false">A17+1</f>
        <v>2031</v>
      </c>
      <c r="B18" s="11" t="n">
        <f aca="false">A18-$B$2</f>
        <v>13</v>
      </c>
      <c r="C18" s="16" t="n">
        <f aca="false">Datos!$B$7*(1+Tasas!$B$6*B18)</f>
        <v>57600</v>
      </c>
      <c r="D18" s="16" t="n">
        <f aca="false">Datos!$B$7*(1+Tasas!$B$7)^B18</f>
        <v>57600</v>
      </c>
      <c r="E18" s="16" t="n">
        <f aca="false">Datos!$B$7*EXP(Tasas!$B$8*B18)</f>
        <v>57600</v>
      </c>
      <c r="F18" s="16" t="n">
        <f aca="false">E18-C18</f>
        <v>0</v>
      </c>
    </row>
    <row r="19" customFormat="false" ht="15" hidden="false" customHeight="false" outlineLevel="0" collapsed="false">
      <c r="A19" s="11" t="n">
        <f aca="false">A18+1</f>
        <v>2032</v>
      </c>
      <c r="B19" s="11" t="n">
        <f aca="false">A19-$B$2</f>
        <v>14</v>
      </c>
      <c r="C19" s="16" t="n">
        <f aca="false">Datos!$B$7*(1+Tasas!$B$6*B19)</f>
        <v>58338.4615384615</v>
      </c>
      <c r="D19" s="16" t="n">
        <f aca="false">Datos!$B$7*(1+Tasas!$B$7)^B19</f>
        <v>58413.516083369</v>
      </c>
      <c r="E19" s="16" t="n">
        <f aca="false">Datos!$B$7*EXP(Tasas!$B$8*B19)</f>
        <v>58413.516083369</v>
      </c>
      <c r="F19" s="16" t="n">
        <f aca="false">E19-C19</f>
        <v>75.0545449074707</v>
      </c>
    </row>
    <row r="20" customFormat="false" ht="15" hidden="false" customHeight="false" outlineLevel="0" collapsed="false">
      <c r="A20" s="11" t="n">
        <f aca="false">A19+1</f>
        <v>2033</v>
      </c>
      <c r="B20" s="11" t="n">
        <f aca="false">A20-$B$2</f>
        <v>15</v>
      </c>
      <c r="C20" s="16" t="n">
        <f aca="false">Datos!$B$7*(1+Tasas!$B$6*B20)</f>
        <v>59076.9230769231</v>
      </c>
      <c r="D20" s="16" t="n">
        <f aca="false">Datos!$B$7*(1+Tasas!$B$7)^B20</f>
        <v>59238.5218962154</v>
      </c>
      <c r="E20" s="16" t="n">
        <f aca="false">Datos!$B$7*EXP(Tasas!$B$8*B20)</f>
        <v>59238.5218962154</v>
      </c>
      <c r="F20" s="16" t="n">
        <f aca="false">E20-C20</f>
        <v>161.598819292354</v>
      </c>
    </row>
    <row r="21" customFormat="false" ht="15" hidden="false" customHeight="false" outlineLevel="0" collapsed="false">
      <c r="A21" s="11" t="n">
        <f aca="false">A20+1</f>
        <v>2034</v>
      </c>
      <c r="B21" s="11" t="n">
        <f aca="false">A21-$B$2</f>
        <v>16</v>
      </c>
      <c r="C21" s="16" t="n">
        <f aca="false">Datos!$B$7*(1+Tasas!$B$6*B21)</f>
        <v>59815.3846153846</v>
      </c>
      <c r="D21" s="16" t="n">
        <f aca="false">Datos!$B$7*(1+Tasas!$B$7)^B21</f>
        <v>60075.1797142289</v>
      </c>
      <c r="E21" s="16" t="n">
        <f aca="false">Datos!$B$7*EXP(Tasas!$B$8*B21)</f>
        <v>60075.1797142289</v>
      </c>
      <c r="F21" s="16" t="n">
        <f aca="false">E21-C21</f>
        <v>259.795098844326</v>
      </c>
    </row>
    <row r="22" customFormat="false" ht="15" hidden="false" customHeight="false" outlineLevel="0" collapsed="false">
      <c r="A22" s="11" t="n">
        <f aca="false">A21+1</f>
        <v>2035</v>
      </c>
      <c r="B22" s="11" t="n">
        <f aca="false">A22-$B$2</f>
        <v>17</v>
      </c>
      <c r="C22" s="16" t="n">
        <f aca="false">Datos!$B$7*(1+Tasas!$B$6*B22)</f>
        <v>60553.8461538462</v>
      </c>
      <c r="D22" s="16" t="n">
        <f aca="false">Datos!$B$7*(1+Tasas!$B$7)^B22</f>
        <v>60923.6541050068</v>
      </c>
      <c r="E22" s="16" t="n">
        <f aca="false">Datos!$B$7*EXP(Tasas!$B$8*B22)</f>
        <v>60923.6541050069</v>
      </c>
      <c r="F22" s="16" t="n">
        <f aca="false">E22-C22</f>
        <v>369.807951160736</v>
      </c>
    </row>
    <row r="23" customFormat="false" ht="15" hidden="false" customHeight="false" outlineLevel="0" collapsed="false">
      <c r="A23" s="11" t="n">
        <f aca="false">A22+1</f>
        <v>2036</v>
      </c>
      <c r="B23" s="11" t="n">
        <f aca="false">A23-$B$2</f>
        <v>18</v>
      </c>
      <c r="C23" s="16" t="n">
        <f aca="false">Datos!$B$7*(1+Tasas!$B$6*B23)</f>
        <v>61292.3076923077</v>
      </c>
      <c r="D23" s="16" t="n">
        <f aca="false">Datos!$B$7*(1+Tasas!$B$7)^B23</f>
        <v>61784.1119604241</v>
      </c>
      <c r="E23" s="16" t="n">
        <f aca="false">Datos!$B$7*EXP(Tasas!$B$8*B23)</f>
        <v>61784.1119604241</v>
      </c>
      <c r="F23" s="16" t="n">
        <f aca="false">E23-C23</f>
        <v>491.80426811643</v>
      </c>
    </row>
    <row r="24" customFormat="false" ht="15" hidden="false" customHeight="false" outlineLevel="0" collapsed="false">
      <c r="A24" s="11" t="n">
        <f aca="false">A23+1</f>
        <v>2037</v>
      </c>
      <c r="B24" s="11" t="n">
        <f aca="false">A24-$B$2</f>
        <v>19</v>
      </c>
      <c r="C24" s="16" t="n">
        <f aca="false">Datos!$B$7*(1+Tasas!$B$6*B24)</f>
        <v>62030.7692307692</v>
      </c>
      <c r="D24" s="16" t="n">
        <f aca="false">Datos!$B$7*(1+Tasas!$B$7)^B24</f>
        <v>62656.7225294601</v>
      </c>
      <c r="E24" s="16" t="n">
        <f aca="false">Datos!$B$7*EXP(Tasas!$B$8*B24)</f>
        <v>62656.7225294602</v>
      </c>
      <c r="F24" s="16" t="n">
        <f aca="false">E24-C24</f>
        <v>625.953298690947</v>
      </c>
    </row>
    <row r="25" customFormat="false" ht="15" hidden="false" customHeight="false" outlineLevel="0" collapsed="false">
      <c r="A25" s="11" t="n">
        <f aca="false">A24+1</f>
        <v>2038</v>
      </c>
      <c r="B25" s="11" t="n">
        <f aca="false">A25-$B$2</f>
        <v>20</v>
      </c>
      <c r="C25" s="16" t="n">
        <f aca="false">Datos!$B$7*(1+Tasas!$B$6*B25)</f>
        <v>62769.2307692308</v>
      </c>
      <c r="D25" s="16" t="n">
        <f aca="false">Datos!$B$7*(1+Tasas!$B$7)^B25</f>
        <v>63541.6574514897</v>
      </c>
      <c r="E25" s="16" t="n">
        <f aca="false">Datos!$B$7*EXP(Tasas!$B$8*B25)</f>
        <v>63541.6574514898</v>
      </c>
      <c r="F25" s="16" t="n">
        <f aca="false">E25-C25</f>
        <v>772.426682259</v>
      </c>
    </row>
    <row r="26" customFormat="false" ht="15" hidden="false" customHeight="false" outlineLevel="0" collapsed="false">
      <c r="A26" s="11" t="n">
        <f aca="false">A25+1</f>
        <v>2039</v>
      </c>
      <c r="B26" s="11" t="n">
        <f aca="false">A26-$B$2</f>
        <v>21</v>
      </c>
      <c r="C26" s="16" t="n">
        <f aca="false">Datos!$B$7*(1+Tasas!$B$6*B26)</f>
        <v>63507.6923076923</v>
      </c>
      <c r="D26" s="16" t="n">
        <f aca="false">Datos!$B$7*(1+Tasas!$B$7)^B26</f>
        <v>64439.0907900437</v>
      </c>
      <c r="E26" s="16" t="n">
        <f aca="false">Datos!$B$7*EXP(Tasas!$B$8*B26)</f>
        <v>64439.0907900438</v>
      </c>
      <c r="F26" s="16" t="n">
        <f aca="false">E26-C26</f>
        <v>931.398482351469</v>
      </c>
    </row>
    <row r="27" customFormat="false" ht="15" hidden="false" customHeight="false" outlineLevel="0" collapsed="false">
      <c r="A27" s="11" t="n">
        <f aca="false">A26+1</f>
        <v>2040</v>
      </c>
      <c r="B27" s="11" t="n">
        <f aca="false">A27-$B$2</f>
        <v>22</v>
      </c>
      <c r="C27" s="16" t="n">
        <f aca="false">Datos!$B$7*(1+Tasas!$B$6*B27)</f>
        <v>64246.1538461538</v>
      </c>
      <c r="D27" s="16" t="n">
        <f aca="false">Datos!$B$7*(1+Tasas!$B$7)^B27</f>
        <v>65349.1990670468</v>
      </c>
      <c r="E27" s="16" t="n">
        <f aca="false">Datos!$B$7*EXP(Tasas!$B$8*B27)</f>
        <v>65349.1990670468</v>
      </c>
      <c r="F27" s="16" t="n">
        <f aca="false">E27-C27</f>
        <v>1103.04522089299</v>
      </c>
    </row>
    <row r="28" customFormat="false" ht="15" hidden="false" customHeight="false" outlineLevel="0" collapsed="false">
      <c r="A28" s="11" t="n">
        <f aca="false">A27+1</f>
        <v>2041</v>
      </c>
      <c r="B28" s="11" t="n">
        <f aca="false">A28-$B$2</f>
        <v>23</v>
      </c>
      <c r="C28" s="16" t="n">
        <f aca="false">Datos!$B$7*(1+Tasas!$B$6*B28)</f>
        <v>64984.6153846154</v>
      </c>
      <c r="D28" s="16" t="n">
        <f aca="false">Datos!$B$7*(1+Tasas!$B$7)^B28</f>
        <v>66272.1612975385</v>
      </c>
      <c r="E28" s="16" t="n">
        <f aca="false">Datos!$B$7*EXP(Tasas!$B$8*B28)</f>
        <v>66272.1612975386</v>
      </c>
      <c r="F28" s="16" t="n">
        <f aca="false">E28-C28</f>
        <v>1287.5459129232</v>
      </c>
    </row>
    <row r="29" customFormat="false" ht="15" hidden="false" customHeight="false" outlineLevel="0" collapsed="false">
      <c r="A29" s="11" t="n">
        <f aca="false">A28+1</f>
        <v>2042</v>
      </c>
      <c r="B29" s="11" t="n">
        <f aca="false">A29-$B$2</f>
        <v>24</v>
      </c>
      <c r="C29" s="16" t="n">
        <f aca="false">Datos!$B$7*(1+Tasas!$B$6*B29)</f>
        <v>65723.0769230769</v>
      </c>
      <c r="D29" s="16" t="n">
        <f aca="false">Datos!$B$7*(1+Tasas!$B$7)^B29</f>
        <v>67208.1590248853</v>
      </c>
      <c r="E29" s="16" t="n">
        <f aca="false">Datos!$B$7*EXP(Tasas!$B$8*B29)</f>
        <v>67208.1590248854</v>
      </c>
      <c r="F29" s="16" t="n">
        <f aca="false">E29-C29</f>
        <v>1485.08210180842</v>
      </c>
    </row>
    <row r="30" customFormat="false" ht="15" hidden="false" customHeight="false" outlineLevel="0" collapsed="false">
      <c r="A30" s="11" t="n">
        <f aca="false">A29+1</f>
        <v>2043</v>
      </c>
      <c r="B30" s="11" t="n">
        <f aca="false">A30-$B$2</f>
        <v>25</v>
      </c>
      <c r="C30" s="16" t="n">
        <f aca="false">Datos!$B$7*(1+Tasas!$B$6*B30)</f>
        <v>66461.5384615385</v>
      </c>
      <c r="D30" s="16" t="n">
        <f aca="false">Datos!$B$7*(1+Tasas!$B$7)^B30</f>
        <v>68157.3763564888</v>
      </c>
      <c r="E30" s="16" t="n">
        <f aca="false">Datos!$B$7*EXP(Tasas!$B$8*B30)</f>
        <v>68157.3763564889</v>
      </c>
      <c r="F30" s="16" t="n">
        <f aca="false">E30-C30</f>
        <v>1695.83789495047</v>
      </c>
    </row>
    <row r="31" customFormat="false" ht="15" hidden="false" customHeight="false" outlineLevel="0" collapsed="false">
      <c r="A31" s="11" t="n">
        <f aca="false">A30+1</f>
        <v>2044</v>
      </c>
      <c r="B31" s="11" t="n">
        <f aca="false">A31-$B$2</f>
        <v>26</v>
      </c>
      <c r="C31" s="16" t="n">
        <f aca="false">Datos!$B$7*(1+Tasas!$B$6*B31)</f>
        <v>67200</v>
      </c>
      <c r="D31" s="16" t="n">
        <f aca="false">Datos!$B$7*(1+Tasas!$B$7)^B31</f>
        <v>69119.9999999999</v>
      </c>
      <c r="E31" s="16" t="n">
        <f aca="false">Datos!$B$7*EXP(Tasas!$B$8*B31)</f>
        <v>69120</v>
      </c>
      <c r="F31" s="16" t="n">
        <f aca="false">E31-C31</f>
        <v>1920</v>
      </c>
    </row>
    <row r="32" customFormat="false" ht="15" hidden="false" customHeight="false" outlineLevel="0" collapsed="false">
      <c r="A32" s="11" t="n">
        <f aca="false">A31+1</f>
        <v>2045</v>
      </c>
      <c r="B32" s="11" t="n">
        <f aca="false">A32-$B$2</f>
        <v>27</v>
      </c>
      <c r="C32" s="16" t="n">
        <f aca="false">Datos!$B$7*(1+Tasas!$B$6*B32)</f>
        <v>67938.4615384615</v>
      </c>
      <c r="D32" s="16" t="n">
        <f aca="false">Datos!$B$7*(1+Tasas!$B$7)^B32</f>
        <v>70096.2193000427</v>
      </c>
      <c r="E32" s="16" t="n">
        <f aca="false">Datos!$B$7*EXP(Tasas!$B$8*B32)</f>
        <v>70096.2193000428</v>
      </c>
      <c r="F32" s="16" t="n">
        <f aca="false">E32-C32</f>
        <v>2157.75776158128</v>
      </c>
    </row>
    <row r="33" customFormat="false" ht="15" hidden="false" customHeight="false" outlineLevel="0" collapsed="false">
      <c r="A33" s="11" t="n">
        <f aca="false">A32+1</f>
        <v>2046</v>
      </c>
      <c r="B33" s="11" t="n">
        <f aca="false">A33-$B$2</f>
        <v>28</v>
      </c>
      <c r="C33" s="16" t="n">
        <f aca="false">Datos!$B$7*(1+Tasas!$B$6*B33)</f>
        <v>68676.9230769231</v>
      </c>
      <c r="D33" s="16" t="n">
        <f aca="false">Datos!$B$7*(1+Tasas!$B$7)^B33</f>
        <v>71086.2262754584</v>
      </c>
      <c r="E33" s="16" t="n">
        <f aca="false">Datos!$B$7*EXP(Tasas!$B$8*B33)</f>
        <v>71086.2262754585</v>
      </c>
      <c r="F33" s="16" t="n">
        <f aca="false">E33-C33</f>
        <v>2409.30319853546</v>
      </c>
    </row>
    <row r="34" customFormat="false" ht="15" hidden="false" customHeight="false" outlineLevel="0" collapsed="false">
      <c r="A34" s="11" t="n">
        <f aca="false">A33+1</f>
        <v>2047</v>
      </c>
      <c r="B34" s="11" t="n">
        <f aca="false">A34-$B$2</f>
        <v>29</v>
      </c>
      <c r="C34" s="16" t="n">
        <f aca="false">Datos!$B$7*(1+Tasas!$B$6*B34)</f>
        <v>69415.3846153846</v>
      </c>
      <c r="D34" s="16" t="n">
        <f aca="false">Datos!$B$7*(1+Tasas!$B$7)^B34</f>
        <v>72090.2156570746</v>
      </c>
      <c r="E34" s="16" t="n">
        <f aca="false">Datos!$B$7*EXP(Tasas!$B$8*B34)</f>
        <v>72090.2156570748</v>
      </c>
      <c r="F34" s="16" t="n">
        <f aca="false">E34-C34</f>
        <v>2674.83104169014</v>
      </c>
    </row>
    <row r="35" customFormat="false" ht="15" hidden="false" customHeight="false" outlineLevel="0" collapsed="false">
      <c r="A35" s="11" t="n">
        <f aca="false">A34+1</f>
        <v>2048</v>
      </c>
      <c r="B35" s="11" t="n">
        <f aca="false">A35-$B$2</f>
        <v>30</v>
      </c>
      <c r="C35" s="16" t="n">
        <f aca="false">Datos!$B$7*(1+Tasas!$B$6*B35)</f>
        <v>70153.8461538462</v>
      </c>
      <c r="D35" s="16" t="n">
        <f aca="false">Datos!$B$7*(1+Tasas!$B$7)^B35</f>
        <v>73108.3849260082</v>
      </c>
      <c r="E35" s="16" t="n">
        <f aca="false">Datos!$B$7*EXP(Tasas!$B$8*B35)</f>
        <v>73108.3849260083</v>
      </c>
      <c r="F35" s="16" t="n">
        <f aca="false">E35-C35</f>
        <v>2954.53877216209</v>
      </c>
    </row>
    <row r="36" customFormat="false" ht="15" hidden="false" customHeight="false" outlineLevel="0" collapsed="false">
      <c r="A36" s="11" t="n">
        <f aca="false">A35+1</f>
        <v>2049</v>
      </c>
      <c r="B36" s="11" t="n">
        <f aca="false">A36-$B$2</f>
        <v>31</v>
      </c>
      <c r="C36" s="16" t="n">
        <f aca="false">Datos!$B$7*(1+Tasas!$B$6*B36)</f>
        <v>70892.3076923077</v>
      </c>
      <c r="D36" s="16" t="n">
        <f aca="false">Datos!$B$7*(1+Tasas!$B$7)^B36</f>
        <v>74140.9343525088</v>
      </c>
      <c r="E36" s="16" t="n">
        <f aca="false">Datos!$B$7*EXP(Tasas!$B$8*B36)</f>
        <v>74140.934352509</v>
      </c>
      <c r="F36" s="16" t="n">
        <f aca="false">E36-C36</f>
        <v>3248.62666020126</v>
      </c>
    </row>
    <row r="37" customFormat="false" ht="15" hidden="false" customHeight="false" outlineLevel="0" collapsed="false">
      <c r="A37" s="11" t="n">
        <f aca="false">A36+1</f>
        <v>2050</v>
      </c>
      <c r="B37" s="11" t="n">
        <f aca="false">A37-$B$2</f>
        <v>32</v>
      </c>
      <c r="C37" s="16" t="n">
        <f aca="false">Datos!$B$7*(1+Tasas!$B$6*B37)</f>
        <v>71630.7692307692</v>
      </c>
      <c r="D37" s="16" t="n">
        <f aca="false">Datos!$B$7*(1+Tasas!$B$7)^B37</f>
        <v>75188.0670353521</v>
      </c>
      <c r="E37" s="16" t="n">
        <f aca="false">Datos!$B$7*EXP(Tasas!$B$8*B37)</f>
        <v>75188.0670353522</v>
      </c>
      <c r="F37" s="16" t="n">
        <f aca="false">E37-C37</f>
        <v>3557.29780458297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2026-10-20T16:01:58Z</dcterms:created>
  <dc:creator>openpyxl</dc:creator>
  <dc:description/>
  <dc:language>en-US</dc:language>
  <cp:lastModifiedBy/>
  <dcterms:modified xsi:type="dcterms:W3CDTF">2026-10-20T11:02:00Z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